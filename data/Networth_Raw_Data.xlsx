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024172A4-BC3A-461E-BF1B-8DB5F4FAB587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FD" sheetId="2" r:id="rId1"/>
    <sheet name="MF" sheetId="3" r:id="rId2"/>
    <sheet name="Stocks" sheetId="4" r:id="rId3"/>
  </sheets>
  <definedNames>
    <definedName name="_xlnm._FilterDatabase" localSheetId="0" hidden="1">FD!$A$1:$L$25</definedName>
    <definedName name="_xlnm._FilterDatabase" localSheetId="1" hidden="1">MF!$A$1:$I$24</definedName>
    <definedName name="_xlnm._FilterDatabase" localSheetId="2" hidden="1">Stocks!$A$1:$H$37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3" l="1"/>
  <c r="F26" i="3"/>
  <c r="F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37" i="4"/>
  <c r="L24" i="2"/>
  <c r="L23" i="2"/>
  <c r="L22" i="2"/>
  <c r="L21" i="2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" i="3"/>
  <c r="H8" i="3"/>
  <c r="H7" i="3"/>
  <c r="H6" i="3"/>
  <c r="H5" i="3"/>
  <c r="H4" i="3"/>
  <c r="H3" i="3"/>
  <c r="H2" i="3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<sst xmlns="http://schemas.openxmlformats.org/spreadsheetml/2006/main" count="368" uniqueCount="168">
  <si>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</si>
  <si>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</si>
  <si>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</si>
  <si>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</si>
  <si>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</si>
  <si>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</si>
  <si>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</si>
  <si>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</si>
  <si>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</si>
  <si>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</si>
  <si>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</si>
  <si>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</si>
  <si>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</si>
  <si>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</si>
  <si>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</si>
  <si>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</si>
  <si>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</si>
  <si>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</si>
  <si>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</si>
  <si>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</si>
  <si>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</si>
  <si>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</si>
  <si>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</si>
  <si>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</si>
  <si>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</si>
  <si>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</si>
  <si>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</si>
  <si>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</si>
  <si>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</si>
  <si>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</si>
  <si>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</si>
  <si>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</si>
  <si>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INR</t>
  </si>
  <si>
    <t>BAJAJFINSV</t>
  </si>
  <si>
    <t>INE918I01026</t>
  </si>
  <si>
    <t>41357456/41</t>
  </si>
  <si>
    <t>HDFC MID CAP FUND - DIRECT PLAN - GROWTH OPTION</t>
  </si>
  <si>
    <t>INF179K01XQ0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</si>
  <si>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</si>
  <si>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</si>
  <si>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</si>
  <si>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</si>
  <si>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</si>
  <si>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</si>
  <si>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</si>
  <si>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</si>
  <si>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</si>
  <si>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</si>
  <si>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588388851981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</si>
  <si>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</si>
  <si>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</si>
  <si>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</si>
  <si>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</si>
  <si>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</si>
  <si>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</si>
  <si>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</si>
  <si>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</si>
  <si>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</si>
  <si>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</si>
  <si>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</si>
  <si>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</si>
  <si>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</si>
  <si>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</si>
  <si>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</si>
  <si>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</si>
  <si>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</si>
  <si>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</si>
  <si>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</si>
  <si>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</si>
  <si>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</si>
  <si>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INF179KB1HP9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</si>
  <si>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</si>
  <si>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</si>
  <si>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</si>
  <si>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</si>
  <si>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</si>
  <si>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</si>
  <si>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</si>
  <si>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</si>
  <si>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</si>
  <si>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</si>
  <si>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</si>
  <si>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</si>
  <si>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</si>
  <si>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</si>
  <si>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</si>
  <si>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</si>
  <si>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</si>
  <si>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</si>
  <si>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</si>
  <si>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</si>
  <si>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</si>
  <si>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</si>
  <si>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</si>
  <si>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</si>
  <si>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</si>
  <si>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</si>
  <si>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</si>
  <si>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</si>
  <si>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</si>
  <si>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</si>
  <si>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</si>
  <si>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</si>
  <si>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</si>
  <si>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</si>
  <si>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</si>
  <si>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</si>
  <si>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</si>
  <si>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</si>
  <si>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</si>
  <si>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</si>
  <si>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</si>
  <si>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</si>
  <si>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</si>
  <si>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</si>
  <si>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</si>
  <si>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</si>
  <si>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</si>
  <si>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</si>
  <si>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</si>
  <si>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</si>
  <si>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</si>
  <si>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</si>
  <si>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</si>
  <si>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</si>
  <si>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</si>
  <si>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</si>
  <si>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</si>
  <si>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</si>
  <si>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</si>
  <si>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</si>
  <si>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</si>
  <si>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</si>
  <si>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</si>
  <si>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</si>
  <si>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</si>
  <si>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</si>
  <si>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</si>
  <si>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</si>
  <si>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</si>
  <si>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</si>
  <si>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</si>
  <si>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</si>
  <si>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SBI Contra Direct Plan Growth</t>
  </si>
  <si>
    <t>INF200K01RA0</t>
  </si>
  <si>
    <t>11062226/29</t>
  </si>
  <si>
    <t>INF740KA1MG9</t>
  </si>
  <si>
    <t>INF843K01AO4</t>
  </si>
  <si>
    <t>44179073/89</t>
  </si>
  <si>
    <t>INF109K018M4</t>
  </si>
  <si>
    <t>INF00XX01747</t>
  </si>
  <si>
    <t>HDFC LIQUID FUND-DIRECT PLAN-GROWTH OPTION</t>
  </si>
  <si>
    <t>43886784/76</t>
  </si>
  <si>
    <t>INF204KB17I5</t>
  </si>
  <si>
    <t>INF179K01VX0</t>
  </si>
  <si>
    <t>ICICI Prudential Gold ETF FoF Growth</t>
  </si>
  <si>
    <t>2026.08.18</t>
  </si>
  <si>
    <t>INF109K01TK8</t>
  </si>
  <si>
    <t>GOLDBEES</t>
  </si>
  <si>
    <t>DSP NIFTY NEXT 50 INDEX FUND - DIRECT PLAN</t>
  </si>
  <si>
    <t>EDELWEISS MID CAP FUND - DIRECT PLAN</t>
  </si>
  <si>
    <t>HDFC LIQUID FUND - DIRECT PLAN</t>
  </si>
  <si>
    <t>ICICI PRUDENTIAL INFRASTRUCTURE FUND - DIRECT PLAN</t>
  </si>
  <si>
    <t>ITI SMALL CAP FUND - DIRECT PLAN</t>
  </si>
  <si>
    <t>PARAG PARIKH FLEXI CAP FUND - DIRECT PLAN</t>
  </si>
  <si>
    <t>2026.09.01</t>
  </si>
  <si>
    <t>HDFC Gold ETF Fund of Fund</t>
  </si>
  <si>
    <t>5030 1408 9708 04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</si>
</sst>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164" fontId="4" fillId="0" borderId="0" xfId="0" applyNumberFormat="1" applyFont="1"/>
    <xf numFmtId="0" fontId="5" fillId="0" borderId="0" xfId="0" applyFont="1" applyAlignment="1">
      <alignment horizontal="right"/>
    </xf>
    <xf numFmtId="165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vertical="center" wrapText="1"/>
    </xf>
    <xf numFmtId="2" fontId="5" fillId="0" borderId="0" xfId="0" applyNumberFormat="1" applyFont="1"/>
    <xf numFmtId="2" fontId="5" fillId="0" borderId="0" xfId="0" applyNumberFormat="1" applyFont="1" applyAlignment="1">
      <alignment horizontal="right"/>
    </xf>
    <xf numFmtId="4" fontId="5" fillId="0" borderId="0" xfId="0" applyNumberFormat="1" applyFont="1" applyAlignment="1">
      <alignment vertical="center" wrapText="1"/>
    </xf>
    <xf numFmtId="2" fontId="4" fillId="0" borderId="0" xfId="0" applyNumberFormat="1" applyFont="1"/>
    <xf numFmtId="1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4" fontId="5" fillId="0" borderId="0" xfId="0" applyNumberFormat="1" applyFont="1"/>
    <xf numFmtId="0" fontId="6" fillId="0" borderId="0" xfId="0" applyFont="1"/>
    <xf numFmtId="15" fontId="5" fillId="0" borderId="0" xfId="0" applyNumberFormat="1" applyFont="1"/>
    <xf numFmtId="1" fontId="5" fillId="0" borderId="0" xfId="0" applyNumberFormat="1" applyFont="1" applyAlignment="1">
      <alignment vertical="center" wrapText="1"/>
    </xf>
    <xf numFmtId="43" fontId="0" fillId="0" borderId="0" xfId="0" applyNumberFormat="1"/>
    <xf numFmtId="43" fontId="4" fillId="0" borderId="0" xfId="0" applyNumberFormat="1" applyFont="1"/>
    <xf numFmtId="0" fontId="2" fillId="0" borderId="0" xfId="0" applyFont="1"/>
    <xf numFmtId="2" fontId="7" fillId="0" borderId="0" xfId="0" applyNumberFormat="1" applyFont="1"/>
    <xf numFmtId="1" fontId="4" fillId="2" borderId="0" xfId="0" applyNumberFormat="1" applyFont="1" applyFill="1"/>
    <xf numFmtId="0" fontId="1" fillId="0" borderId="0" xfId="0" applyFont="1"/>
    <xf numFmtId="2" fontId="7" fillId="0" borderId="0" xfId="0" applyNumberFormat="1" applyFont="1" applyAlignment="1">
      <alignment horizontal="right"/>
    </xf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04"/>
  <sheetViews>
    <sheetView zoomScale="85" zoomScaleNormal="85" workbookViewId="0">
      <selection activeCell="D35" sqref="D35"/>
    </sheetView>
  </sheetViews>
  <sheetFormatPr defaultColWidth="14.3984375" defaultRowHeight="15" customHeight="1" x14ac:dyDescent="0.45"/>
  <cols>
    <col min="1" max="1" width="1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hidden="1" customHeight="1" x14ac:dyDescent="0.45">
      <c r="A2" s="22">
        <v>44593037174</v>
      </c>
      <c r="B2" s="6" t="s">
        <v>29</v>
      </c>
      <c r="C2" s="9">
        <v>45959</v>
      </c>
      <c r="D2" s="9">
        <v>46403</v>
      </c>
      <c r="E2" s="6" t="s">
        <v>32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hidden="1" customHeight="1" x14ac:dyDescent="0.45">
      <c r="A3" s="22">
        <v>61337382391</v>
      </c>
      <c r="B3" s="6" t="s">
        <v>29</v>
      </c>
      <c r="C3" s="9">
        <v>42725</v>
      </c>
      <c r="D3" s="9">
        <v>47108</v>
      </c>
      <c r="E3" s="6" t="s">
        <v>32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hidden="1" customHeight="1" x14ac:dyDescent="0.45">
      <c r="A4" s="22">
        <v>38772146994</v>
      </c>
      <c r="B4" s="6" t="s">
        <v>29</v>
      </c>
      <c r="C4" s="9">
        <v>43725</v>
      </c>
      <c r="D4" s="9">
        <v>46388</v>
      </c>
      <c r="E4" s="6" t="s">
        <v>32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hidden="1" customHeight="1" x14ac:dyDescent="0.45">
      <c r="A5" s="22">
        <v>33328759905</v>
      </c>
      <c r="B5" s="6" t="s">
        <v>29</v>
      </c>
      <c r="C5" s="9">
        <v>45215</v>
      </c>
      <c r="D5" s="9">
        <v>46412</v>
      </c>
      <c r="E5" s="6" t="s">
        <v>32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hidden="1" customHeight="1" x14ac:dyDescent="0.45">
      <c r="A6" s="22">
        <v>44534674181</v>
      </c>
      <c r="B6" s="6" t="s">
        <v>53</v>
      </c>
      <c r="C6" s="9">
        <v>45937</v>
      </c>
      <c r="D6" s="9">
        <v>46333</v>
      </c>
      <c r="E6" s="6" t="s">
        <v>32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hidden="1" customHeight="1" x14ac:dyDescent="0.45">
      <c r="A7" s="22">
        <v>44026778199</v>
      </c>
      <c r="B7" s="6" t="s">
        <v>53</v>
      </c>
      <c r="C7" s="9">
        <v>45771</v>
      </c>
      <c r="D7" s="9">
        <v>46501</v>
      </c>
      <c r="E7" s="6" t="s">
        <v>32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hidden="1" customHeight="1" x14ac:dyDescent="0.45">
      <c r="A8" s="16">
        <v>42003550663</v>
      </c>
      <c r="B8" s="2" t="s">
        <v>53</v>
      </c>
      <c r="C8" s="17">
        <v>45092</v>
      </c>
      <c r="D8" s="17">
        <v>46292</v>
      </c>
      <c r="E8" s="2" t="s">
        <v>32</v>
      </c>
      <c r="F8" s="18">
        <v>77621</v>
      </c>
      <c r="G8" s="18">
        <v>0</v>
      </c>
      <c r="H8" s="18">
        <v>77621</v>
      </c>
      <c r="I8" s="18">
        <v>83532</v>
      </c>
      <c r="J8" s="19">
        <v>6.75</v>
      </c>
      <c r="K8" s="2">
        <v>0</v>
      </c>
      <c r="L8" s="2">
        <v>13</v>
      </c>
    </row>
    <row r="9" spans="1:19" ht="14.25" customHeight="1" x14ac:dyDescent="0.45">
      <c r="A9" s="27">
        <v>44845539534</v>
      </c>
      <c r="B9" s="2" t="s">
        <v>62</v>
      </c>
      <c r="C9" s="17">
        <v>46035</v>
      </c>
      <c r="D9" s="17">
        <v>46759</v>
      </c>
      <c r="E9" s="2" t="s">
        <v>63</v>
      </c>
      <c r="F9" s="18">
        <v>7467.76</v>
      </c>
      <c r="G9" s="18">
        <v>0</v>
      </c>
      <c r="H9" s="18">
        <v>7467.76</v>
      </c>
      <c r="I9" s="18">
        <v>8199.14</v>
      </c>
      <c r="J9" s="19">
        <v>4.7</v>
      </c>
      <c r="K9" s="2">
        <v>1</v>
      </c>
      <c r="L9" s="2">
        <v>24</v>
      </c>
    </row>
    <row r="10" spans="1:19" ht="14.25" customHeight="1" x14ac:dyDescent="0.45">
      <c r="A10" s="27">
        <v>44566202075</v>
      </c>
      <c r="B10" s="2" t="s">
        <v>62</v>
      </c>
      <c r="C10" s="17">
        <v>45944</v>
      </c>
      <c r="D10" s="17">
        <v>46309</v>
      </c>
      <c r="E10" s="2" t="s">
        <v>63</v>
      </c>
      <c r="F10" s="18">
        <v>7324.09</v>
      </c>
      <c r="G10" s="18">
        <v>0</v>
      </c>
      <c r="H10" s="18">
        <v>7324.09</v>
      </c>
      <c r="I10" s="18">
        <v>7695.38</v>
      </c>
      <c r="J10" s="19">
        <v>5</v>
      </c>
      <c r="K10" s="2">
        <v>1</v>
      </c>
      <c r="L10" s="2">
        <v>12</v>
      </c>
    </row>
    <row r="11" spans="1:19" ht="14.25" customHeight="1" x14ac:dyDescent="0.45">
      <c r="A11" s="27" t="s">
        <v>167</v>
      </c>
      <c r="B11" s="2" t="s">
        <v>62</v>
      </c>
      <c r="C11" s="17">
        <v>46260</v>
      </c>
      <c r="D11" s="17">
        <v>47356</v>
      </c>
      <c r="E11" s="2" t="s">
        <v>63</v>
      </c>
      <c r="F11" s="18">
        <v>7695.16</v>
      </c>
      <c r="G11" s="18">
        <v>0</v>
      </c>
      <c r="H11" s="18">
        <v>7695.16</v>
      </c>
      <c r="I11" s="18">
        <v>9281.24</v>
      </c>
      <c r="J11" s="19">
        <v>6.25</v>
      </c>
      <c r="K11" s="2">
        <v>3</v>
      </c>
      <c r="L11" s="2">
        <v>36</v>
      </c>
      <c r="M11" s="23"/>
      <c r="N11" s="24"/>
      <c r="O11" s="24"/>
    </row>
    <row r="12" spans="1:19" ht="14.25" customHeight="1" x14ac:dyDescent="0.45">
      <c r="A12" s="27">
        <v>43997482706</v>
      </c>
      <c r="B12" s="2" t="s">
        <v>62</v>
      </c>
      <c r="C12" s="17">
        <v>45755</v>
      </c>
      <c r="D12" s="17">
        <v>46454</v>
      </c>
      <c r="E12" s="2" t="s">
        <v>63</v>
      </c>
      <c r="F12" s="18">
        <v>9530.31</v>
      </c>
      <c r="G12" s="18">
        <v>0</v>
      </c>
      <c r="H12" s="18">
        <v>9530.31</v>
      </c>
      <c r="I12" s="18">
        <v>10589.52</v>
      </c>
      <c r="J12" s="19">
        <v>5.5</v>
      </c>
      <c r="K12" s="2">
        <v>1</v>
      </c>
      <c r="L12" s="2">
        <v>23</v>
      </c>
    </row>
    <row r="13" spans="1:19" ht="14.25" customHeight="1" x14ac:dyDescent="0.45">
      <c r="A13" s="27">
        <v>43733169283</v>
      </c>
      <c r="B13" s="2" t="s">
        <v>62</v>
      </c>
      <c r="C13" s="17">
        <v>45672</v>
      </c>
      <c r="D13" s="17">
        <v>46371</v>
      </c>
      <c r="E13" s="2" t="s">
        <v>63</v>
      </c>
      <c r="F13" s="18">
        <v>6732.37</v>
      </c>
      <c r="G13" s="18">
        <v>0</v>
      </c>
      <c r="H13" s="18">
        <v>6732.37</v>
      </c>
      <c r="I13" s="18">
        <v>7480.61</v>
      </c>
      <c r="J13" s="19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16">
        <v>43291394536</v>
      </c>
      <c r="B14" s="2" t="s">
        <v>62</v>
      </c>
      <c r="C14" s="17">
        <v>46266</v>
      </c>
      <c r="D14" s="17">
        <v>47362</v>
      </c>
      <c r="E14" s="2" t="s">
        <v>63</v>
      </c>
      <c r="F14" s="18">
        <v>11600.12</v>
      </c>
      <c r="G14" s="18">
        <v>0</v>
      </c>
      <c r="H14" s="18">
        <v>11600.12</v>
      </c>
      <c r="I14" s="18">
        <v>12325.127500000001</v>
      </c>
      <c r="J14" s="19">
        <v>6.25</v>
      </c>
      <c r="K14" s="2">
        <v>3</v>
      </c>
      <c r="L14" s="2">
        <v>36</v>
      </c>
      <c r="M14" s="23"/>
      <c r="N14" s="23"/>
    </row>
    <row r="15" spans="1:19" ht="14.25" customHeight="1" x14ac:dyDescent="0.45">
      <c r="A15" s="27">
        <v>43163907025</v>
      </c>
      <c r="B15" s="2" t="s">
        <v>62</v>
      </c>
      <c r="C15" s="17">
        <v>45478</v>
      </c>
      <c r="D15" s="17">
        <v>46878</v>
      </c>
      <c r="E15" s="2" t="s">
        <v>63</v>
      </c>
      <c r="F15" s="18">
        <v>7537.41</v>
      </c>
      <c r="G15" s="18">
        <v>0</v>
      </c>
      <c r="H15" s="18">
        <v>7537.41</v>
      </c>
      <c r="I15" s="18">
        <v>8203.25</v>
      </c>
      <c r="J15" s="19">
        <v>5.65</v>
      </c>
      <c r="K15" s="2">
        <v>1</v>
      </c>
      <c r="L15" s="2">
        <v>23</v>
      </c>
    </row>
    <row r="16" spans="1:19" ht="14.25" customHeight="1" x14ac:dyDescent="0.45">
      <c r="A16" s="27">
        <v>42615430036</v>
      </c>
      <c r="B16" s="2" t="s">
        <v>62</v>
      </c>
      <c r="C16" s="17">
        <v>45300</v>
      </c>
      <c r="D16" s="17">
        <v>46396</v>
      </c>
      <c r="E16" s="2" t="s">
        <v>63</v>
      </c>
      <c r="F16" s="18">
        <v>7725.96</v>
      </c>
      <c r="G16" s="18">
        <v>0</v>
      </c>
      <c r="H16" s="18">
        <v>7725.96</v>
      </c>
      <c r="I16" s="18">
        <v>8094.12</v>
      </c>
      <c r="J16" s="19">
        <v>4.7</v>
      </c>
      <c r="K16" s="2">
        <v>1</v>
      </c>
      <c r="L16" s="2">
        <v>36</v>
      </c>
    </row>
    <row r="17" spans="1:12" ht="14.25" customHeight="1" x14ac:dyDescent="0.45">
      <c r="A17" s="27">
        <v>45119505710</v>
      </c>
      <c r="B17" s="2" t="s">
        <v>62</v>
      </c>
      <c r="C17" s="17">
        <v>46134</v>
      </c>
      <c r="D17" s="17">
        <v>46499</v>
      </c>
      <c r="E17" s="2" t="s">
        <v>63</v>
      </c>
      <c r="F17" s="18">
        <v>7828.35</v>
      </c>
      <c r="G17" s="18">
        <v>0</v>
      </c>
      <c r="H17" s="18">
        <v>7929.77</v>
      </c>
      <c r="I17" s="18">
        <v>8177.58</v>
      </c>
      <c r="J17" s="19">
        <v>4.4000000000000004</v>
      </c>
      <c r="K17" s="2">
        <v>1</v>
      </c>
      <c r="L17" s="2">
        <v>24</v>
      </c>
    </row>
    <row r="18" spans="1:12" ht="14.25" hidden="1" customHeight="1" x14ac:dyDescent="0.45">
      <c r="A18" s="16">
        <v>43807426829</v>
      </c>
      <c r="B18" s="2" t="s">
        <v>62</v>
      </c>
      <c r="C18" s="17">
        <v>45698</v>
      </c>
      <c r="D18" s="17">
        <v>46498</v>
      </c>
      <c r="E18" s="2" t="s">
        <v>32</v>
      </c>
      <c r="F18" s="18">
        <v>422022</v>
      </c>
      <c r="G18" s="18">
        <v>400000</v>
      </c>
      <c r="H18" s="18">
        <v>0</v>
      </c>
      <c r="I18" s="18">
        <v>451714</v>
      </c>
      <c r="J18" s="19">
        <v>6.25</v>
      </c>
      <c r="K18" s="2">
        <v>0</v>
      </c>
      <c r="L18" s="2">
        <v>13</v>
      </c>
    </row>
    <row r="19" spans="1:12" ht="14.25" hidden="1" customHeight="1" x14ac:dyDescent="0.45">
      <c r="A19" s="16">
        <v>40532970714</v>
      </c>
      <c r="B19" s="2" t="s">
        <v>62</v>
      </c>
      <c r="C19" s="17">
        <v>44495</v>
      </c>
      <c r="D19" s="17">
        <v>46686</v>
      </c>
      <c r="E19" s="2" t="s">
        <v>32</v>
      </c>
      <c r="F19" s="18">
        <v>2342229</v>
      </c>
      <c r="G19" s="18">
        <v>0</v>
      </c>
      <c r="H19" s="18">
        <v>2342229</v>
      </c>
      <c r="I19" s="18">
        <v>2863124</v>
      </c>
      <c r="J19" s="19">
        <v>6.75</v>
      </c>
      <c r="K19" s="2">
        <v>3</v>
      </c>
      <c r="L19" s="2">
        <v>72</v>
      </c>
    </row>
    <row r="20" spans="1:12" ht="14.25" customHeight="1" x14ac:dyDescent="0.45">
      <c r="A20" s="27">
        <v>45362549294</v>
      </c>
      <c r="B20" s="2" t="s">
        <v>62</v>
      </c>
      <c r="C20" s="17">
        <v>46211</v>
      </c>
      <c r="D20" s="17">
        <v>47307</v>
      </c>
      <c r="E20" s="2" t="s">
        <v>63</v>
      </c>
      <c r="F20" s="18">
        <v>7690.81</v>
      </c>
      <c r="G20" s="18">
        <v>0</v>
      </c>
      <c r="H20" s="18">
        <v>7690.81</v>
      </c>
      <c r="I20" s="18">
        <v>9005.41</v>
      </c>
      <c r="J20" s="19">
        <v>5.25</v>
      </c>
      <c r="K20" s="2">
        <v>3</v>
      </c>
      <c r="L20" s="2">
        <v>36</v>
      </c>
    </row>
    <row r="21" spans="1:12" ht="14.25" customHeight="1" x14ac:dyDescent="0.45">
      <c r="A21" s="16">
        <v>50301396455541</v>
      </c>
      <c r="B21" s="2" t="s">
        <v>62</v>
      </c>
      <c r="C21" s="17">
        <v>46235</v>
      </c>
      <c r="D21" s="17">
        <v>47331</v>
      </c>
      <c r="E21" s="2" t="s">
        <v>63</v>
      </c>
      <c r="F21" s="18">
        <v>7000</v>
      </c>
      <c r="G21" s="18">
        <v>0</v>
      </c>
      <c r="H21" s="18">
        <v>7000</v>
      </c>
      <c r="I21" s="18">
        <v>8442.81</v>
      </c>
      <c r="J21" s="19">
        <v>6.25</v>
      </c>
      <c r="K21" s="2">
        <v>3</v>
      </c>
      <c r="L21" s="2">
        <f t="shared" ref="L21:L24" si="0">K21*12</f>
        <v>36</v>
      </c>
    </row>
    <row r="22" spans="1:12" ht="14.25" customHeight="1" x14ac:dyDescent="0.45">
      <c r="A22" s="16">
        <v>50301396454452</v>
      </c>
      <c r="B22" s="2" t="s">
        <v>62</v>
      </c>
      <c r="C22" s="17">
        <v>46235</v>
      </c>
      <c r="D22" s="17">
        <v>47331</v>
      </c>
      <c r="E22" s="2" t="s">
        <v>63</v>
      </c>
      <c r="F22" s="18">
        <v>7000</v>
      </c>
      <c r="G22" s="18">
        <v>0</v>
      </c>
      <c r="H22" s="18">
        <v>7000</v>
      </c>
      <c r="I22" s="18">
        <v>8442.81</v>
      </c>
      <c r="J22" s="19">
        <v>6.25</v>
      </c>
      <c r="K22" s="2">
        <v>3</v>
      </c>
      <c r="L22" s="2">
        <f t="shared" si="0"/>
        <v>36</v>
      </c>
    </row>
    <row r="23" spans="1:12" ht="14.25" customHeight="1" x14ac:dyDescent="0.45">
      <c r="A23" s="16">
        <v>50301396455107</v>
      </c>
      <c r="B23" s="2" t="s">
        <v>62</v>
      </c>
      <c r="C23" s="17">
        <v>46235</v>
      </c>
      <c r="D23" s="17">
        <v>47331</v>
      </c>
      <c r="E23" s="2" t="s">
        <v>63</v>
      </c>
      <c r="F23" s="18">
        <v>7000</v>
      </c>
      <c r="G23" s="18">
        <v>0</v>
      </c>
      <c r="H23" s="18">
        <v>7000</v>
      </c>
      <c r="I23" s="18">
        <v>8442.81</v>
      </c>
      <c r="J23" s="19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16">
        <v>50301396455886</v>
      </c>
      <c r="B24" s="2" t="s">
        <v>62</v>
      </c>
      <c r="C24" s="17">
        <v>46235</v>
      </c>
      <c r="D24" s="17">
        <v>47331</v>
      </c>
      <c r="E24" s="2" t="s">
        <v>63</v>
      </c>
      <c r="F24" s="18">
        <v>7000</v>
      </c>
      <c r="G24" s="18">
        <v>0</v>
      </c>
      <c r="H24" s="18">
        <v>7000</v>
      </c>
      <c r="I24" s="18">
        <v>8442.81</v>
      </c>
      <c r="J24" s="19">
        <v>6.25</v>
      </c>
      <c r="K24" s="2">
        <v>3</v>
      </c>
      <c r="L24" s="2">
        <f t="shared" si="0"/>
        <v>36</v>
      </c>
    </row>
    <row r="25" spans="1:12" ht="14.25" hidden="1" customHeight="1" x14ac:dyDescent="0.45">
      <c r="A25" s="16"/>
      <c r="B25" s="2"/>
      <c r="C25" s="17"/>
      <c r="D25" s="17"/>
      <c r="E25" s="2"/>
      <c r="F25" s="18"/>
      <c r="G25" s="18"/>
      <c r="H25" s="18"/>
      <c r="I25" s="18"/>
      <c r="J25" s="19"/>
      <c r="K25" s="2"/>
      <c r="L25" s="2"/>
    </row>
    <row r="26" spans="1:12" ht="14.25" customHeight="1" x14ac:dyDescent="0.45"/>
    <row r="27" spans="1:12" ht="14.25" customHeight="1" x14ac:dyDescent="0.45">
      <c r="A27" s="2" t="s">
        <v>113</v>
      </c>
      <c r="B27" s="12">
        <f>SUMIF(E2:E104,"INR",F2:F104)</f>
        <v>3562870</v>
      </c>
    </row>
    <row r="28" spans="1:12" ht="14.25" customHeight="1" x14ac:dyDescent="0.45">
      <c r="A28" s="2" t="s">
        <v>114</v>
      </c>
      <c r="B28" s="12">
        <f>SUMIF(E2:E104,"INR",I2:I104)</f>
        <v>4203971</v>
      </c>
    </row>
    <row r="29" spans="1:12" ht="14.25" customHeight="1" x14ac:dyDescent="0.45">
      <c r="A29" s="2" t="s">
        <v>115</v>
      </c>
      <c r="B29" s="12">
        <f>SUMIF(E2:E104,"INR",G2:G104)</f>
        <v>475000</v>
      </c>
    </row>
    <row r="30" spans="1:12" ht="14.25" customHeight="1" x14ac:dyDescent="0.45">
      <c r="A30" s="2" t="s">
        <v>116</v>
      </c>
      <c r="B30" s="12">
        <f>SUMIF(E2:E104,"INR",H2:H104)</f>
        <v>3065848</v>
      </c>
      <c r="C30" s="2"/>
    </row>
    <row r="31" spans="1:12" ht="14.25" customHeight="1" x14ac:dyDescent="0.45">
      <c r="A31" s="2" t="s">
        <v>117</v>
      </c>
      <c r="B31" s="12">
        <f>SUMIF(E2:E104,"USD",F2:F104)</f>
        <v>109132.34000000001</v>
      </c>
      <c r="C31" s="15"/>
    </row>
    <row r="32" spans="1:12" ht="14.25" customHeight="1" x14ac:dyDescent="0.45">
      <c r="A32" s="2" t="s">
        <v>118</v>
      </c>
      <c r="B32" s="12">
        <f>SUMIF(E2:E104,"USD",I2:I104)</f>
        <v>122822.61749999999</v>
      </c>
      <c r="C32" s="15"/>
    </row>
    <row r="33" spans="1:3" ht="14.25" customHeight="1" x14ac:dyDescent="0.45">
      <c r="A33" s="2" t="s">
        <v>119</v>
      </c>
      <c r="B33" s="12">
        <f>SUMIF(E2:E104,"USD",H2:H104)</f>
        <v>109233.76000000001</v>
      </c>
      <c r="C33" s="15"/>
    </row>
    <row r="34" spans="1:3" ht="14.25" customHeight="1" x14ac:dyDescent="0.45">
      <c r="A34" s="2" t="s">
        <v>120</v>
      </c>
      <c r="B34" s="21">
        <f>MIN(D2:D104)</f>
        <v>46292</v>
      </c>
    </row>
    <row r="35" spans="1:3" ht="14.25" customHeight="1" x14ac:dyDescent="0.45"/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</sheetData>
  <autoFilter ref="A1:L25" xr:uid="{00000000-0009-0000-0000-000001000000}">
    <filterColumn colId="1">
      <filters>
        <filter val="Mr. RAJESH KUMAR"/>
      </filters>
    </filterColumn>
    <filterColumn colId="4">
      <filters>
        <filter val="USD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788"/>
  <sheetViews>
    <sheetView tabSelected="1" zoomScaleNormal="100" workbookViewId="0">
      <pane ySplit="1" topLeftCell="A13" activePane="bottomLeft" state="frozen"/>
      <selection pane="bottomLeft" activeCell="A27" sqref="A27"/>
    </sheetView>
  </sheetViews>
  <sheetFormatPr defaultColWidth="14.3984375" defaultRowHeight="15" customHeight="1" x14ac:dyDescent="0.45"/>
  <cols>
    <col min="1" max="1" width="26.19921875" bestFit="1" customWidth="1"/>
    <col min="2" max="2" width="14.265625" customWidth="1"/>
    <col min="3" max="3" width="63.265625" customWidth="1"/>
    <col min="4" max="4" width="13.86328125" customWidth="1"/>
    <col min="5" max="5" width="13.73046875" customWidth="1"/>
    <col min="6" max="6" width="11.53125" bestFit="1" customWidth="1"/>
    <col min="7" max="7" width="13.53125" customWidth="1"/>
    <col min="8" max="8" width="16.3984375" customWidth="1"/>
    <col min="9" max="9" width="8.86328125" customWidth="1"/>
    <col min="10" max="20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hidden="1" customHeight="1" x14ac:dyDescent="0.45">
      <c r="A2" s="2" t="s">
        <v>29</v>
      </c>
      <c r="B2" s="8">
        <v>51030997796</v>
      </c>
      <c r="C2" s="2" t="s">
        <v>121</v>
      </c>
      <c r="D2" s="2" t="s">
        <v>122</v>
      </c>
      <c r="E2" s="2" t="s">
        <v>123</v>
      </c>
      <c r="F2" s="12">
        <v>584.25099999999998</v>
      </c>
      <c r="G2" s="12">
        <v>171.15</v>
      </c>
      <c r="H2" s="12">
        <f t="shared" ref="H2:H9" si="0">G2*F2</f>
        <v>99994.558650000006</v>
      </c>
      <c r="I2" s="2" t="s">
        <v>32</v>
      </c>
    </row>
    <row r="3" spans="1:9" ht="14.25" hidden="1" customHeight="1" x14ac:dyDescent="0.45">
      <c r="A3" s="2" t="s">
        <v>29</v>
      </c>
      <c r="B3" s="8">
        <v>13418855</v>
      </c>
      <c r="C3" s="2" t="s">
        <v>124</v>
      </c>
      <c r="D3" s="2" t="s">
        <v>125</v>
      </c>
      <c r="E3" s="2" t="s">
        <v>126</v>
      </c>
      <c r="F3" s="12">
        <v>195.88300000000001</v>
      </c>
      <c r="G3" s="12">
        <v>50.89</v>
      </c>
      <c r="H3" s="12">
        <f t="shared" si="0"/>
        <v>9968.4858700000004</v>
      </c>
      <c r="I3" s="2" t="s">
        <v>32</v>
      </c>
    </row>
    <row r="4" spans="1:9" ht="14.25" hidden="1" customHeight="1" x14ac:dyDescent="0.45">
      <c r="A4" s="2" t="s">
        <v>29</v>
      </c>
      <c r="B4" s="8">
        <v>3951913</v>
      </c>
      <c r="C4" s="2" t="s">
        <v>127</v>
      </c>
      <c r="D4" s="2" t="s">
        <v>128</v>
      </c>
      <c r="E4" s="2" t="s">
        <v>129</v>
      </c>
      <c r="F4" s="12">
        <v>2057.4090000000001</v>
      </c>
      <c r="G4" s="12">
        <v>49.19</v>
      </c>
      <c r="H4" s="12">
        <f t="shared" si="0"/>
        <v>101203.94871</v>
      </c>
      <c r="I4" s="2" t="s">
        <v>32</v>
      </c>
    </row>
    <row r="5" spans="1:9" ht="14.25" hidden="1" customHeight="1" x14ac:dyDescent="0.45">
      <c r="A5" s="2" t="s">
        <v>29</v>
      </c>
      <c r="B5" s="8">
        <v>91067398181</v>
      </c>
      <c r="C5" s="2" t="s">
        <v>130</v>
      </c>
      <c r="D5" s="2" t="s">
        <v>131</v>
      </c>
      <c r="E5" s="2" t="s">
        <v>132</v>
      </c>
      <c r="F5" s="12">
        <v>425.07400000000001</v>
      </c>
      <c r="G5" s="12">
        <v>61.16</v>
      </c>
      <c r="H5" s="12">
        <f t="shared" si="0"/>
        <v>25997.525839999998</v>
      </c>
      <c r="I5" s="2" t="s">
        <v>32</v>
      </c>
    </row>
    <row r="6" spans="1:9" ht="14.25" hidden="1" customHeight="1" x14ac:dyDescent="0.45">
      <c r="A6" s="2" t="s">
        <v>29</v>
      </c>
      <c r="B6" s="8">
        <v>1126600181</v>
      </c>
      <c r="C6" s="2" t="s">
        <v>133</v>
      </c>
      <c r="D6" s="2" t="s">
        <v>134</v>
      </c>
      <c r="E6" s="2" t="s">
        <v>135</v>
      </c>
      <c r="F6" s="12">
        <v>319.24400000000003</v>
      </c>
      <c r="G6" s="12">
        <v>156.62</v>
      </c>
      <c r="H6" s="12">
        <f t="shared" si="0"/>
        <v>49999.995280000003</v>
      </c>
      <c r="I6" s="2" t="s">
        <v>32</v>
      </c>
    </row>
    <row r="7" spans="1:9" ht="14.25" hidden="1" customHeight="1" x14ac:dyDescent="0.45">
      <c r="A7" s="2" t="s">
        <v>29</v>
      </c>
      <c r="B7" s="8">
        <v>36612038</v>
      </c>
      <c r="C7" s="2" t="s">
        <v>136</v>
      </c>
      <c r="D7" s="2" t="s">
        <v>137</v>
      </c>
      <c r="E7" s="2" t="s">
        <v>138</v>
      </c>
      <c r="F7" s="12">
        <v>1434.932</v>
      </c>
      <c r="G7" s="12">
        <v>33.229999999999997</v>
      </c>
      <c r="H7" s="12">
        <f t="shared" si="0"/>
        <v>47682.790359999999</v>
      </c>
      <c r="I7" s="2" t="s">
        <v>32</v>
      </c>
    </row>
    <row r="8" spans="1:9" ht="14.25" hidden="1" customHeight="1" x14ac:dyDescent="0.45">
      <c r="A8" s="2" t="s">
        <v>29</v>
      </c>
      <c r="B8" s="8">
        <v>5088537</v>
      </c>
      <c r="C8" s="2" t="s">
        <v>139</v>
      </c>
      <c r="D8" s="2" t="s">
        <v>140</v>
      </c>
      <c r="E8" s="2" t="s">
        <v>135</v>
      </c>
      <c r="F8" s="12">
        <v>243.03200000000001</v>
      </c>
      <c r="G8" s="12">
        <v>205.73</v>
      </c>
      <c r="H8" s="12">
        <f t="shared" si="0"/>
        <v>49998.973359999996</v>
      </c>
      <c r="I8" s="2" t="s">
        <v>32</v>
      </c>
    </row>
    <row r="9" spans="1:9" ht="14.25" hidden="1" customHeight="1" x14ac:dyDescent="0.45">
      <c r="A9" s="2" t="s">
        <v>29</v>
      </c>
      <c r="B9" s="8">
        <v>134188855</v>
      </c>
      <c r="C9" s="2" t="s">
        <v>141</v>
      </c>
      <c r="D9" s="2" t="s">
        <v>142</v>
      </c>
      <c r="E9" s="2" t="s">
        <v>135</v>
      </c>
      <c r="F9" s="12">
        <v>106.32299999999999</v>
      </c>
      <c r="G9" s="12">
        <v>470.27</v>
      </c>
      <c r="H9" s="12">
        <f t="shared" si="0"/>
        <v>50000.517209999998</v>
      </c>
      <c r="I9" s="2" t="s">
        <v>32</v>
      </c>
    </row>
    <row r="10" spans="1:9" ht="14.25" hidden="1" customHeight="1" x14ac:dyDescent="0.45">
      <c r="A10" s="2" t="s">
        <v>29</v>
      </c>
      <c r="B10" s="3">
        <v>36612038</v>
      </c>
      <c r="C10" t="s">
        <v>155</v>
      </c>
      <c r="D10" s="25" t="s">
        <v>157</v>
      </c>
      <c r="E10" s="25" t="s">
        <v>156</v>
      </c>
      <c r="F10" s="26">
        <v>2306.7750000000001</v>
      </c>
      <c r="G10" s="26">
        <v>45.52</v>
      </c>
      <c r="H10" s="26">
        <f t="shared" ref="H10" si="1">G10*F10</f>
        <v>105004.39800000002</v>
      </c>
      <c r="I10" s="2" t="s">
        <v>32</v>
      </c>
    </row>
    <row r="11" spans="1:9" ht="14.25" hidden="1" customHeight="1" x14ac:dyDescent="0.45">
      <c r="A11" s="2" t="s">
        <v>62</v>
      </c>
      <c r="B11" s="3" t="s">
        <v>145</v>
      </c>
      <c r="C11" t="s">
        <v>159</v>
      </c>
      <c r="D11" t="s">
        <v>146</v>
      </c>
      <c r="E11" s="28" t="s">
        <v>165</v>
      </c>
      <c r="F11">
        <v>10101.464</v>
      </c>
      <c r="G11">
        <v>28.34</v>
      </c>
      <c r="H11" s="26">
        <f t="shared" ref="H11:H16" si="2">G11*F11</f>
        <v>286275.48976000003</v>
      </c>
      <c r="I11" s="2" t="s">
        <v>32</v>
      </c>
    </row>
    <row r="12" spans="1:9" ht="14.25" hidden="1" customHeight="1" x14ac:dyDescent="0.45">
      <c r="A12" s="2" t="s">
        <v>62</v>
      </c>
      <c r="B12" s="3">
        <v>91047038565</v>
      </c>
      <c r="C12" t="s">
        <v>160</v>
      </c>
      <c r="D12" t="s">
        <v>147</v>
      </c>
      <c r="E12" s="28" t="s">
        <v>165</v>
      </c>
      <c r="F12">
        <v>2699.4740000000002</v>
      </c>
      <c r="G12">
        <v>126.35</v>
      </c>
      <c r="H12" s="26">
        <f t="shared" si="2"/>
        <v>341078.53990000003</v>
      </c>
      <c r="I12" s="2" t="s">
        <v>32</v>
      </c>
    </row>
    <row r="13" spans="1:9" ht="14.25" customHeight="1" x14ac:dyDescent="0.45">
      <c r="A13" s="2" t="s">
        <v>62</v>
      </c>
      <c r="B13" s="3" t="s">
        <v>152</v>
      </c>
      <c r="C13" t="s">
        <v>161</v>
      </c>
      <c r="D13" t="s">
        <v>70</v>
      </c>
      <c r="E13" s="28" t="s">
        <v>165</v>
      </c>
      <c r="F13">
        <v>180.34899999999999</v>
      </c>
      <c r="G13">
        <v>5544.53</v>
      </c>
      <c r="H13" s="26">
        <f t="shared" si="2"/>
        <v>999950.44096999988</v>
      </c>
      <c r="I13" s="2" t="s">
        <v>32</v>
      </c>
    </row>
    <row r="14" spans="1:9" ht="14.25" hidden="1" customHeight="1" x14ac:dyDescent="0.45">
      <c r="A14" s="2" t="s">
        <v>62</v>
      </c>
      <c r="B14" s="3" t="s">
        <v>148</v>
      </c>
      <c r="C14" t="s">
        <v>162</v>
      </c>
      <c r="D14" t="s">
        <v>149</v>
      </c>
      <c r="E14" s="28" t="s">
        <v>165</v>
      </c>
      <c r="F14">
        <v>1099.3810000000001</v>
      </c>
      <c r="G14">
        <v>218.66</v>
      </c>
      <c r="H14" s="26">
        <f t="shared" si="2"/>
        <v>240390.64946000002</v>
      </c>
      <c r="I14" s="2" t="s">
        <v>32</v>
      </c>
    </row>
    <row r="15" spans="1:9" ht="14.25" hidden="1" customHeight="1" x14ac:dyDescent="0.45">
      <c r="A15" s="2" t="s">
        <v>62</v>
      </c>
      <c r="B15" s="3">
        <v>3108075281</v>
      </c>
      <c r="C15" t="s">
        <v>163</v>
      </c>
      <c r="D15" t="s">
        <v>150</v>
      </c>
      <c r="E15" s="28" t="s">
        <v>165</v>
      </c>
      <c r="F15">
        <v>7033.3440000000001</v>
      </c>
      <c r="G15">
        <v>34.96</v>
      </c>
      <c r="H15" s="26">
        <f t="shared" si="2"/>
        <v>245885.70624</v>
      </c>
      <c r="I15" s="2" t="s">
        <v>32</v>
      </c>
    </row>
    <row r="16" spans="1:9" ht="14.25" hidden="1" customHeight="1" x14ac:dyDescent="0.45">
      <c r="A16" s="2" t="s">
        <v>62</v>
      </c>
      <c r="B16" s="3">
        <v>19839482</v>
      </c>
      <c r="C16" t="s">
        <v>164</v>
      </c>
      <c r="D16" t="s">
        <v>31</v>
      </c>
      <c r="E16" s="28" t="s">
        <v>165</v>
      </c>
      <c r="F16">
        <v>2973.799</v>
      </c>
      <c r="G16">
        <v>90.79</v>
      </c>
      <c r="H16" s="26">
        <f t="shared" si="2"/>
        <v>269991.21121000004</v>
      </c>
      <c r="I16" s="2" t="s">
        <v>32</v>
      </c>
    </row>
    <row r="17" spans="1:9" ht="14.25" hidden="1" customHeight="1" x14ac:dyDescent="0.45">
      <c r="A17" s="2" t="s">
        <v>25</v>
      </c>
      <c r="B17" s="8">
        <v>46764761</v>
      </c>
      <c r="C17" s="2" t="s">
        <v>143</v>
      </c>
      <c r="D17" s="2" t="s">
        <v>144</v>
      </c>
      <c r="E17" s="28" t="s">
        <v>165</v>
      </c>
      <c r="F17">
        <v>161.322</v>
      </c>
      <c r="G17" s="26">
        <v>407.56</v>
      </c>
      <c r="H17" s="12">
        <f t="shared" ref="H17" si="3">G17*F17</f>
        <v>65748.394320000007</v>
      </c>
      <c r="I17" s="2" t="s">
        <v>32</v>
      </c>
    </row>
    <row r="18" spans="1:9" ht="14.25" hidden="1" customHeight="1" x14ac:dyDescent="0.45">
      <c r="A18" s="2" t="s">
        <v>25</v>
      </c>
      <c r="B18" s="3" t="s">
        <v>35</v>
      </c>
      <c r="C18" t="s">
        <v>166</v>
      </c>
      <c r="D18" t="s">
        <v>154</v>
      </c>
      <c r="E18" s="28" t="s">
        <v>165</v>
      </c>
      <c r="F18">
        <v>1002.611</v>
      </c>
      <c r="G18">
        <v>47.87</v>
      </c>
      <c r="H18" s="12">
        <f t="shared" ref="H18:H23" si="4">G18*F18</f>
        <v>47994.988569999994</v>
      </c>
      <c r="I18" s="2" t="s">
        <v>32</v>
      </c>
    </row>
    <row r="19" spans="1:9" ht="14.25" hidden="1" customHeight="1" x14ac:dyDescent="0.45">
      <c r="A19" s="2" t="s">
        <v>25</v>
      </c>
      <c r="B19" s="8" t="s">
        <v>35</v>
      </c>
      <c r="C19" t="s">
        <v>151</v>
      </c>
      <c r="D19" t="s">
        <v>70</v>
      </c>
      <c r="E19" s="28" t="s">
        <v>165</v>
      </c>
      <c r="F19">
        <v>3.5999999999999997E-2</v>
      </c>
      <c r="G19">
        <v>5561.82</v>
      </c>
      <c r="H19" s="12">
        <f t="shared" si="4"/>
        <v>200.22551999999996</v>
      </c>
      <c r="I19" s="2" t="s">
        <v>32</v>
      </c>
    </row>
    <row r="20" spans="1:9" ht="14.25" hidden="1" customHeight="1" x14ac:dyDescent="0.45">
      <c r="A20" s="2" t="s">
        <v>25</v>
      </c>
      <c r="B20" s="8" t="s">
        <v>35</v>
      </c>
      <c r="C20" t="s">
        <v>36</v>
      </c>
      <c r="D20" t="s">
        <v>37</v>
      </c>
      <c r="E20" s="28" t="s">
        <v>165</v>
      </c>
      <c r="F20">
        <v>1055.5830000000001</v>
      </c>
      <c r="G20">
        <v>210.77</v>
      </c>
      <c r="H20" s="12">
        <f t="shared" si="4"/>
        <v>222485.22891000003</v>
      </c>
      <c r="I20" s="2" t="s">
        <v>32</v>
      </c>
    </row>
    <row r="21" spans="1:9" ht="14.25" hidden="1" customHeight="1" x14ac:dyDescent="0.45">
      <c r="A21" s="2" t="s">
        <v>25</v>
      </c>
      <c r="B21" s="8">
        <v>31043145655</v>
      </c>
      <c r="C21" t="s">
        <v>42</v>
      </c>
      <c r="D21" t="s">
        <v>43</v>
      </c>
      <c r="E21" s="28" t="s">
        <v>165</v>
      </c>
      <c r="F21">
        <v>3469.0880000000002</v>
      </c>
      <c r="G21">
        <v>44.53</v>
      </c>
      <c r="H21" s="12">
        <f t="shared" si="4"/>
        <v>154478.48864000003</v>
      </c>
      <c r="I21" s="2" t="s">
        <v>32</v>
      </c>
    </row>
    <row r="22" spans="1:9" ht="14.25" hidden="1" customHeight="1" x14ac:dyDescent="0.45">
      <c r="A22" s="2" t="s">
        <v>25</v>
      </c>
      <c r="B22" s="8">
        <v>19479811</v>
      </c>
      <c r="C22" s="2" t="s">
        <v>30</v>
      </c>
      <c r="D22" s="2" t="s">
        <v>31</v>
      </c>
      <c r="E22" s="28" t="s">
        <v>165</v>
      </c>
      <c r="F22">
        <v>2647.4430000000002</v>
      </c>
      <c r="G22">
        <v>88.76</v>
      </c>
      <c r="H22" s="12">
        <f t="shared" si="4"/>
        <v>234987.04068000003</v>
      </c>
      <c r="I22" s="2" t="s">
        <v>32</v>
      </c>
    </row>
    <row r="23" spans="1:9" ht="14.25" hidden="1" customHeight="1" x14ac:dyDescent="0.45">
      <c r="A23" s="2" t="s">
        <v>25</v>
      </c>
      <c r="B23" s="8">
        <v>19479811</v>
      </c>
      <c r="C23" t="s">
        <v>75</v>
      </c>
      <c r="D23" t="s">
        <v>76</v>
      </c>
      <c r="E23" s="28" t="s">
        <v>165</v>
      </c>
      <c r="F23">
        <v>49.8</v>
      </c>
      <c r="G23">
        <v>1525.59</v>
      </c>
      <c r="H23" s="12">
        <f t="shared" si="4"/>
        <v>75974.381999999998</v>
      </c>
      <c r="I23" s="2" t="s">
        <v>32</v>
      </c>
    </row>
    <row r="24" spans="1:9" ht="14.25" hidden="1" customHeight="1" x14ac:dyDescent="0.45">
      <c r="A24" s="2" t="s">
        <v>25</v>
      </c>
      <c r="B24" s="8" t="s">
        <v>48</v>
      </c>
      <c r="C24" t="s">
        <v>49</v>
      </c>
      <c r="D24" t="s">
        <v>51</v>
      </c>
      <c r="E24" s="28" t="s">
        <v>165</v>
      </c>
      <c r="F24">
        <v>6597.0010000000002</v>
      </c>
      <c r="G24">
        <v>24.4</v>
      </c>
      <c r="H24" s="12">
        <f t="shared" ref="H24" si="5">G24*F24</f>
        <v>160966.82439999998</v>
      </c>
      <c r="I24" s="2" t="s">
        <v>32</v>
      </c>
    </row>
    <row r="25" spans="1:9" ht="14.25" customHeight="1" x14ac:dyDescent="0.45">
      <c r="A25" s="2" t="s">
        <v>62</v>
      </c>
      <c r="B25" s="3" t="s">
        <v>152</v>
      </c>
      <c r="C25" t="s">
        <v>161</v>
      </c>
      <c r="D25" t="s">
        <v>70</v>
      </c>
      <c r="E25" s="28" t="s">
        <v>165</v>
      </c>
      <c r="F25">
        <f>H25/G25</f>
        <v>337.82629005524365</v>
      </c>
      <c r="G25">
        <v>5544.53</v>
      </c>
      <c r="H25" s="29">
        <v>1873088</v>
      </c>
      <c r="I25" s="2" t="s">
        <v>32</v>
      </c>
    </row>
    <row r="26" spans="1:9" ht="14.25" customHeight="1" x14ac:dyDescent="0.45">
      <c r="A26" s="2" t="s">
        <v>62</v>
      </c>
      <c r="B26" s="3" t="s">
        <v>152</v>
      </c>
      <c r="C26" t="s">
        <v>161</v>
      </c>
      <c r="D26" t="s">
        <v>70</v>
      </c>
      <c r="E26" s="28" t="s">
        <v>165</v>
      </c>
      <c r="F26">
        <f>H26/G26</f>
        <v>258.71854963360283</v>
      </c>
      <c r="G26">
        <v>5544.53</v>
      </c>
      <c r="H26" s="29">
        <v>1434472.76</v>
      </c>
      <c r="I26" s="2" t="s">
        <v>32</v>
      </c>
    </row>
    <row r="27" spans="1:9" ht="14.25" customHeight="1" x14ac:dyDescent="0.45">
      <c r="A27" s="2" t="s">
        <v>62</v>
      </c>
      <c r="B27" s="3" t="s">
        <v>152</v>
      </c>
      <c r="C27" t="s">
        <v>161</v>
      </c>
      <c r="D27" t="s">
        <v>70</v>
      </c>
      <c r="E27" s="28" t="s">
        <v>165</v>
      </c>
      <c r="F27">
        <f>H27/G27</f>
        <v>13.325773329750222</v>
      </c>
      <c r="G27">
        <v>5544.53</v>
      </c>
      <c r="H27" s="26">
        <v>73885.149999999994</v>
      </c>
      <c r="I27" s="2" t="s">
        <v>32</v>
      </c>
    </row>
    <row r="28" spans="1:9" ht="14.25" customHeight="1" x14ac:dyDescent="0.45">
      <c r="B28" s="3"/>
    </row>
    <row r="29" spans="1:9" ht="14.25" customHeight="1" x14ac:dyDescent="0.45">
      <c r="B29" s="3"/>
    </row>
    <row r="30" spans="1:9" ht="14.25" customHeight="1" x14ac:dyDescent="0.45">
      <c r="B30" s="3"/>
    </row>
    <row r="31" spans="1:9" ht="14.25" customHeight="1" x14ac:dyDescent="0.45">
      <c r="B31" s="3"/>
    </row>
    <row r="32" spans="1:9" ht="14.25" customHeight="1" x14ac:dyDescent="0.45">
      <c r="B32" s="3"/>
    </row>
    <row r="33" spans="2:2" ht="14.25" customHeight="1" x14ac:dyDescent="0.45">
      <c r="B33" s="3"/>
    </row>
    <row r="34" spans="2:2" ht="14.25" customHeight="1" x14ac:dyDescent="0.45">
      <c r="B34" s="3"/>
    </row>
    <row r="35" spans="2:2" ht="14.25" customHeight="1" x14ac:dyDescent="0.45">
      <c r="B35" s="3"/>
    </row>
    <row r="36" spans="2:2" ht="14.25" customHeight="1" x14ac:dyDescent="0.45">
      <c r="B36" s="3"/>
    </row>
    <row r="37" spans="2:2" ht="14.25" customHeight="1" x14ac:dyDescent="0.45">
      <c r="B37" s="3"/>
    </row>
    <row r="38" spans="2:2" ht="14.25" customHeight="1" x14ac:dyDescent="0.45">
      <c r="B38" s="3"/>
    </row>
    <row r="39" spans="2:2" ht="14.25" customHeight="1" x14ac:dyDescent="0.45">
      <c r="B39" s="3"/>
    </row>
    <row r="40" spans="2:2" ht="14.25" customHeight="1" x14ac:dyDescent="0.45">
      <c r="B40" s="3"/>
    </row>
    <row r="41" spans="2:2" ht="14.25" customHeight="1" x14ac:dyDescent="0.45">
      <c r="B41" s="3"/>
    </row>
    <row r="42" spans="2:2" ht="14.25" customHeight="1" x14ac:dyDescent="0.45">
      <c r="B42" s="3"/>
    </row>
    <row r="43" spans="2:2" ht="14.25" customHeight="1" x14ac:dyDescent="0.45">
      <c r="B43" s="3"/>
    </row>
    <row r="44" spans="2:2" ht="14.25" customHeight="1" x14ac:dyDescent="0.45">
      <c r="B44" s="3"/>
    </row>
    <row r="45" spans="2:2" ht="14.25" customHeight="1" x14ac:dyDescent="0.45">
      <c r="B45" s="3"/>
    </row>
    <row r="46" spans="2:2" ht="14.25" customHeight="1" x14ac:dyDescent="0.45">
      <c r="B46" s="3"/>
    </row>
    <row r="47" spans="2:2" ht="14.25" customHeight="1" x14ac:dyDescent="0.45">
      <c r="B47" s="3"/>
    </row>
    <row r="48" spans="2:2" ht="14.25" customHeight="1" x14ac:dyDescent="0.45">
      <c r="B48" s="3"/>
    </row>
    <row r="49" spans="2:2" ht="14.25" customHeight="1" x14ac:dyDescent="0.45">
      <c r="B49" s="3"/>
    </row>
    <row r="50" spans="2:2" ht="14.25" customHeight="1" x14ac:dyDescent="0.45">
      <c r="B50" s="3"/>
    </row>
    <row r="51" spans="2:2" ht="14.25" customHeight="1" x14ac:dyDescent="0.45">
      <c r="B51" s="3"/>
    </row>
    <row r="52" spans="2:2" ht="14.25" customHeight="1" x14ac:dyDescent="0.45">
      <c r="B52" s="3"/>
    </row>
    <row r="53" spans="2:2" ht="14.25" customHeight="1" x14ac:dyDescent="0.45">
      <c r="B53" s="3"/>
    </row>
    <row r="54" spans="2:2" ht="14.25" customHeight="1" x14ac:dyDescent="0.45">
      <c r="B54" s="3"/>
    </row>
    <row r="55" spans="2:2" ht="14.25" customHeight="1" x14ac:dyDescent="0.45">
      <c r="B55" s="3"/>
    </row>
    <row r="56" spans="2:2" ht="14.25" customHeight="1" x14ac:dyDescent="0.45">
      <c r="B56" s="3"/>
    </row>
    <row r="57" spans="2:2" ht="14.25" customHeight="1" x14ac:dyDescent="0.45">
      <c r="B57" s="3"/>
    </row>
    <row r="58" spans="2:2" ht="14.25" customHeight="1" x14ac:dyDescent="0.45">
      <c r="B58" s="3"/>
    </row>
    <row r="59" spans="2:2" ht="14.25" customHeight="1" x14ac:dyDescent="0.45">
      <c r="B59" s="3"/>
    </row>
    <row r="60" spans="2:2" ht="14.25" customHeight="1" x14ac:dyDescent="0.45">
      <c r="B60" s="3"/>
    </row>
    <row r="61" spans="2:2" ht="14.25" customHeight="1" x14ac:dyDescent="0.45">
      <c r="B61" s="3"/>
    </row>
    <row r="62" spans="2:2" ht="14.25" customHeight="1" x14ac:dyDescent="0.45">
      <c r="B62" s="3"/>
    </row>
    <row r="63" spans="2:2" ht="14.25" customHeight="1" x14ac:dyDescent="0.45">
      <c r="B63" s="3"/>
    </row>
    <row r="64" spans="2:2" ht="14.25" customHeight="1" x14ac:dyDescent="0.45">
      <c r="B64" s="3"/>
    </row>
    <row r="65" spans="2:2" ht="14.25" customHeight="1" x14ac:dyDescent="0.45">
      <c r="B65" s="3"/>
    </row>
    <row r="66" spans="2:2" ht="14.25" customHeight="1" x14ac:dyDescent="0.45">
      <c r="B66" s="3"/>
    </row>
    <row r="67" spans="2:2" ht="14.25" customHeight="1" x14ac:dyDescent="0.45">
      <c r="B67" s="3"/>
    </row>
    <row r="68" spans="2:2" ht="14.25" customHeight="1" x14ac:dyDescent="0.45">
      <c r="B68" s="3"/>
    </row>
    <row r="69" spans="2:2" ht="14.25" customHeight="1" x14ac:dyDescent="0.45">
      <c r="B69" s="3"/>
    </row>
    <row r="70" spans="2:2" ht="14.25" customHeight="1" x14ac:dyDescent="0.45">
      <c r="B70" s="3"/>
    </row>
    <row r="71" spans="2:2" ht="14.25" customHeight="1" x14ac:dyDescent="0.45">
      <c r="B71" s="3"/>
    </row>
    <row r="72" spans="2:2" ht="14.25" customHeight="1" x14ac:dyDescent="0.45">
      <c r="B72" s="3"/>
    </row>
    <row r="73" spans="2:2" ht="14.25" customHeight="1" x14ac:dyDescent="0.45">
      <c r="B73" s="3"/>
    </row>
    <row r="74" spans="2:2" ht="14.25" customHeight="1" x14ac:dyDescent="0.45">
      <c r="B74" s="3"/>
    </row>
    <row r="75" spans="2:2" ht="14.25" customHeight="1" x14ac:dyDescent="0.45">
      <c r="B75" s="3"/>
    </row>
    <row r="76" spans="2:2" ht="14.25" customHeight="1" x14ac:dyDescent="0.45">
      <c r="B76" s="3"/>
    </row>
    <row r="77" spans="2:2" ht="14.25" customHeight="1" x14ac:dyDescent="0.45">
      <c r="B77" s="3"/>
    </row>
    <row r="78" spans="2:2" ht="14.25" customHeight="1" x14ac:dyDescent="0.45">
      <c r="B78" s="3"/>
    </row>
    <row r="79" spans="2:2" ht="14.25" customHeight="1" x14ac:dyDescent="0.45">
      <c r="B79" s="3"/>
    </row>
    <row r="80" spans="2:2" ht="14.25" customHeight="1" x14ac:dyDescent="0.45">
      <c r="B80" s="3"/>
    </row>
    <row r="81" spans="2:2" ht="14.25" customHeight="1" x14ac:dyDescent="0.45">
      <c r="B81" s="3"/>
    </row>
    <row r="82" spans="2:2" ht="14.25" customHeight="1" x14ac:dyDescent="0.45">
      <c r="B82" s="3"/>
    </row>
    <row r="83" spans="2:2" ht="14.25" customHeight="1" x14ac:dyDescent="0.45">
      <c r="B83" s="3"/>
    </row>
    <row r="84" spans="2:2" ht="14.25" customHeight="1" x14ac:dyDescent="0.45">
      <c r="B84" s="3"/>
    </row>
    <row r="85" spans="2:2" ht="14.25" customHeight="1" x14ac:dyDescent="0.45">
      <c r="B85" s="3"/>
    </row>
    <row r="86" spans="2:2" ht="14.25" customHeight="1" x14ac:dyDescent="0.45">
      <c r="B86" s="3"/>
    </row>
    <row r="87" spans="2:2" ht="14.25" customHeight="1" x14ac:dyDescent="0.45">
      <c r="B87" s="3"/>
    </row>
    <row r="88" spans="2:2" ht="14.25" customHeight="1" x14ac:dyDescent="0.45">
      <c r="B88" s="3"/>
    </row>
    <row r="89" spans="2:2" ht="14.25" customHeight="1" x14ac:dyDescent="0.45">
      <c r="B89" s="3"/>
    </row>
    <row r="90" spans="2:2" ht="14.25" customHeight="1" x14ac:dyDescent="0.45">
      <c r="B90" s="3"/>
    </row>
    <row r="91" spans="2:2" ht="14.25" customHeight="1" x14ac:dyDescent="0.45">
      <c r="B91" s="3"/>
    </row>
    <row r="92" spans="2:2" ht="14.25" customHeight="1" x14ac:dyDescent="0.45">
      <c r="B92" s="3"/>
    </row>
    <row r="93" spans="2:2" ht="14.25" customHeight="1" x14ac:dyDescent="0.45">
      <c r="B93" s="3"/>
    </row>
    <row r="94" spans="2:2" ht="14.25" customHeight="1" x14ac:dyDescent="0.45">
      <c r="B94" s="3"/>
    </row>
    <row r="95" spans="2:2" ht="14.25" customHeight="1" x14ac:dyDescent="0.45">
      <c r="B95" s="3"/>
    </row>
    <row r="96" spans="2:2" ht="14.25" customHeight="1" x14ac:dyDescent="0.45">
      <c r="B96" s="3"/>
    </row>
    <row r="97" spans="2:2" ht="14.25" customHeight="1" x14ac:dyDescent="0.45">
      <c r="B97" s="3"/>
    </row>
    <row r="98" spans="2:2" ht="14.25" customHeight="1" x14ac:dyDescent="0.45">
      <c r="B98" s="3"/>
    </row>
    <row r="99" spans="2:2" ht="14.25" customHeight="1" x14ac:dyDescent="0.45">
      <c r="B99" s="3"/>
    </row>
    <row r="100" spans="2:2" ht="14.25" customHeight="1" x14ac:dyDescent="0.45">
      <c r="B100" s="3"/>
    </row>
    <row r="101" spans="2:2" ht="14.25" customHeight="1" x14ac:dyDescent="0.45">
      <c r="B101" s="3"/>
    </row>
    <row r="102" spans="2:2" ht="14.25" customHeight="1" x14ac:dyDescent="0.45">
      <c r="B102" s="3"/>
    </row>
    <row r="103" spans="2:2" ht="14.25" customHeight="1" x14ac:dyDescent="0.45">
      <c r="B103" s="3"/>
    </row>
    <row r="104" spans="2:2" ht="14.25" customHeight="1" x14ac:dyDescent="0.45">
      <c r="B104" s="3"/>
    </row>
    <row r="105" spans="2:2" ht="14.25" customHeight="1" x14ac:dyDescent="0.45">
      <c r="B105" s="3"/>
    </row>
    <row r="106" spans="2:2" ht="14.25" customHeight="1" x14ac:dyDescent="0.45">
      <c r="B106" s="3"/>
    </row>
    <row r="107" spans="2:2" ht="14.25" customHeight="1" x14ac:dyDescent="0.45">
      <c r="B107" s="3"/>
    </row>
    <row r="108" spans="2:2" ht="14.25" customHeight="1" x14ac:dyDescent="0.45">
      <c r="B108" s="3"/>
    </row>
    <row r="109" spans="2:2" ht="14.25" customHeight="1" x14ac:dyDescent="0.45">
      <c r="B109" s="3"/>
    </row>
    <row r="110" spans="2:2" ht="14.25" customHeight="1" x14ac:dyDescent="0.45">
      <c r="B110" s="3"/>
    </row>
    <row r="111" spans="2:2" ht="14.25" customHeight="1" x14ac:dyDescent="0.45">
      <c r="B111" s="3"/>
    </row>
    <row r="112" spans="2:2" ht="14.25" customHeight="1" x14ac:dyDescent="0.45">
      <c r="B112" s="3"/>
    </row>
    <row r="113" spans="2:2" ht="14.25" customHeight="1" x14ac:dyDescent="0.45">
      <c r="B113" s="3"/>
    </row>
    <row r="114" spans="2:2" ht="14.25" customHeight="1" x14ac:dyDescent="0.45">
      <c r="B114" s="3"/>
    </row>
    <row r="115" spans="2:2" ht="14.25" customHeight="1" x14ac:dyDescent="0.45">
      <c r="B115" s="3"/>
    </row>
    <row r="116" spans="2:2" ht="14.25" customHeight="1" x14ac:dyDescent="0.45">
      <c r="B116" s="3"/>
    </row>
    <row r="117" spans="2:2" ht="14.25" customHeight="1" x14ac:dyDescent="0.45">
      <c r="B117" s="3"/>
    </row>
    <row r="118" spans="2:2" ht="14.25" customHeight="1" x14ac:dyDescent="0.45">
      <c r="B118" s="3"/>
    </row>
    <row r="119" spans="2:2" ht="14.25" customHeight="1" x14ac:dyDescent="0.45">
      <c r="B119" s="3"/>
    </row>
    <row r="120" spans="2:2" ht="14.25" customHeight="1" x14ac:dyDescent="0.45">
      <c r="B120" s="3"/>
    </row>
    <row r="121" spans="2:2" ht="14.25" customHeight="1" x14ac:dyDescent="0.45">
      <c r="B121" s="3"/>
    </row>
    <row r="122" spans="2:2" ht="14.25" customHeight="1" x14ac:dyDescent="0.45">
      <c r="B122" s="3"/>
    </row>
    <row r="123" spans="2:2" ht="14.25" customHeight="1" x14ac:dyDescent="0.45">
      <c r="B123" s="3"/>
    </row>
    <row r="124" spans="2:2" ht="14.25" customHeight="1" x14ac:dyDescent="0.45">
      <c r="B124" s="3"/>
    </row>
    <row r="125" spans="2:2" ht="14.25" customHeight="1" x14ac:dyDescent="0.45">
      <c r="B125" s="3"/>
    </row>
    <row r="126" spans="2:2" ht="14.25" customHeight="1" x14ac:dyDescent="0.45">
      <c r="B126" s="3"/>
    </row>
    <row r="127" spans="2:2" ht="14.25" customHeight="1" x14ac:dyDescent="0.45">
      <c r="B127" s="3"/>
    </row>
    <row r="128" spans="2:2" ht="14.25" customHeight="1" x14ac:dyDescent="0.45">
      <c r="B128" s="3"/>
    </row>
    <row r="129" spans="2:2" ht="14.25" customHeight="1" x14ac:dyDescent="0.45">
      <c r="B129" s="3"/>
    </row>
    <row r="130" spans="2:2" ht="14.25" customHeight="1" x14ac:dyDescent="0.45">
      <c r="B130" s="3"/>
    </row>
    <row r="131" spans="2:2" ht="14.25" customHeight="1" x14ac:dyDescent="0.45">
      <c r="B131" s="3"/>
    </row>
    <row r="132" spans="2:2" ht="14.25" customHeight="1" x14ac:dyDescent="0.45">
      <c r="B132" s="3"/>
    </row>
    <row r="133" spans="2:2" ht="14.25" customHeight="1" x14ac:dyDescent="0.45">
      <c r="B133" s="3"/>
    </row>
    <row r="134" spans="2:2" ht="14.25" customHeight="1" x14ac:dyDescent="0.45">
      <c r="B134" s="3"/>
    </row>
    <row r="135" spans="2:2" ht="14.25" customHeight="1" x14ac:dyDescent="0.45">
      <c r="B135" s="3"/>
    </row>
    <row r="136" spans="2:2" ht="14.25" customHeight="1" x14ac:dyDescent="0.45">
      <c r="B136" s="3"/>
    </row>
    <row r="137" spans="2:2" ht="14.25" customHeight="1" x14ac:dyDescent="0.45">
      <c r="B137" s="3"/>
    </row>
    <row r="138" spans="2:2" ht="14.25" customHeight="1" x14ac:dyDescent="0.45">
      <c r="B138" s="3"/>
    </row>
    <row r="139" spans="2:2" ht="14.25" customHeight="1" x14ac:dyDescent="0.45">
      <c r="B139" s="3"/>
    </row>
    <row r="140" spans="2:2" ht="14.25" customHeight="1" x14ac:dyDescent="0.45">
      <c r="B140" s="3"/>
    </row>
    <row r="141" spans="2:2" ht="14.25" customHeight="1" x14ac:dyDescent="0.45">
      <c r="B141" s="3"/>
    </row>
    <row r="142" spans="2:2" ht="14.25" customHeight="1" x14ac:dyDescent="0.45">
      <c r="B142" s="3"/>
    </row>
    <row r="143" spans="2:2" ht="14.25" customHeight="1" x14ac:dyDescent="0.45">
      <c r="B143" s="3"/>
    </row>
    <row r="144" spans="2:2" ht="14.25" customHeight="1" x14ac:dyDescent="0.45">
      <c r="B144" s="3"/>
    </row>
    <row r="145" spans="2:2" ht="14.25" customHeight="1" x14ac:dyDescent="0.45">
      <c r="B145" s="3"/>
    </row>
    <row r="146" spans="2:2" ht="14.25" customHeight="1" x14ac:dyDescent="0.45">
      <c r="B146" s="3"/>
    </row>
    <row r="147" spans="2:2" ht="14.25" customHeight="1" x14ac:dyDescent="0.45">
      <c r="B147" s="3"/>
    </row>
    <row r="148" spans="2:2" ht="14.25" customHeight="1" x14ac:dyDescent="0.45">
      <c r="B148" s="3"/>
    </row>
    <row r="149" spans="2:2" ht="14.25" customHeight="1" x14ac:dyDescent="0.45">
      <c r="B149" s="3"/>
    </row>
    <row r="150" spans="2:2" ht="14.25" customHeight="1" x14ac:dyDescent="0.45">
      <c r="B150" s="3"/>
    </row>
    <row r="151" spans="2:2" ht="14.25" customHeight="1" x14ac:dyDescent="0.45">
      <c r="B151" s="3"/>
    </row>
    <row r="152" spans="2:2" ht="14.25" customHeight="1" x14ac:dyDescent="0.45">
      <c r="B152" s="3"/>
    </row>
    <row r="153" spans="2:2" ht="14.25" customHeight="1" x14ac:dyDescent="0.45">
      <c r="B153" s="3"/>
    </row>
    <row r="154" spans="2:2" ht="14.25" customHeight="1" x14ac:dyDescent="0.45">
      <c r="B154" s="3"/>
    </row>
    <row r="155" spans="2:2" ht="14.25" customHeight="1" x14ac:dyDescent="0.45">
      <c r="B155" s="3"/>
    </row>
    <row r="156" spans="2:2" ht="14.25" customHeight="1" x14ac:dyDescent="0.45">
      <c r="B156" s="3"/>
    </row>
    <row r="157" spans="2:2" ht="14.25" customHeight="1" x14ac:dyDescent="0.45">
      <c r="B157" s="3"/>
    </row>
    <row r="158" spans="2:2" ht="14.25" customHeight="1" x14ac:dyDescent="0.45">
      <c r="B158" s="3"/>
    </row>
    <row r="159" spans="2:2" ht="14.25" customHeight="1" x14ac:dyDescent="0.45">
      <c r="B159" s="3"/>
    </row>
    <row r="160" spans="2:2" ht="14.25" customHeight="1" x14ac:dyDescent="0.45">
      <c r="B160" s="3"/>
    </row>
    <row r="161" spans="2:2" ht="14.25" customHeight="1" x14ac:dyDescent="0.45">
      <c r="B161" s="3"/>
    </row>
    <row r="162" spans="2:2" ht="14.25" customHeight="1" x14ac:dyDescent="0.45">
      <c r="B162" s="3"/>
    </row>
    <row r="163" spans="2:2" ht="14.25" customHeight="1" x14ac:dyDescent="0.45">
      <c r="B163" s="3"/>
    </row>
    <row r="164" spans="2:2" ht="14.25" customHeight="1" x14ac:dyDescent="0.45">
      <c r="B164" s="3"/>
    </row>
    <row r="165" spans="2:2" ht="14.25" customHeight="1" x14ac:dyDescent="0.45">
      <c r="B165" s="3"/>
    </row>
    <row r="166" spans="2:2" ht="14.25" customHeight="1" x14ac:dyDescent="0.45">
      <c r="B166" s="3"/>
    </row>
    <row r="167" spans="2:2" ht="14.25" customHeight="1" x14ac:dyDescent="0.45">
      <c r="B167" s="3"/>
    </row>
    <row r="168" spans="2:2" ht="14.25" customHeight="1" x14ac:dyDescent="0.45">
      <c r="B168" s="3"/>
    </row>
    <row r="169" spans="2:2" ht="14.25" customHeight="1" x14ac:dyDescent="0.45">
      <c r="B169" s="3"/>
    </row>
    <row r="170" spans="2:2" ht="14.25" customHeight="1" x14ac:dyDescent="0.45">
      <c r="B170" s="3"/>
    </row>
    <row r="171" spans="2:2" ht="14.25" customHeight="1" x14ac:dyDescent="0.45">
      <c r="B171" s="3"/>
    </row>
    <row r="172" spans="2:2" ht="14.25" customHeight="1" x14ac:dyDescent="0.45">
      <c r="B172" s="3"/>
    </row>
    <row r="173" spans="2:2" ht="14.25" customHeight="1" x14ac:dyDescent="0.45">
      <c r="B173" s="3"/>
    </row>
    <row r="174" spans="2:2" ht="14.25" customHeight="1" x14ac:dyDescent="0.45">
      <c r="B174" s="3"/>
    </row>
    <row r="175" spans="2:2" ht="14.25" customHeight="1" x14ac:dyDescent="0.45">
      <c r="B175" s="3"/>
    </row>
    <row r="176" spans="2:2" ht="14.25" customHeight="1" x14ac:dyDescent="0.45">
      <c r="B176" s="3"/>
    </row>
    <row r="177" spans="2:2" ht="14.25" customHeight="1" x14ac:dyDescent="0.45">
      <c r="B177" s="3"/>
    </row>
    <row r="178" spans="2:2" ht="14.25" customHeight="1" x14ac:dyDescent="0.45">
      <c r="B178" s="3"/>
    </row>
    <row r="179" spans="2:2" ht="14.25" customHeight="1" x14ac:dyDescent="0.45">
      <c r="B179" s="3"/>
    </row>
    <row r="180" spans="2:2" ht="14.25" customHeight="1" x14ac:dyDescent="0.45">
      <c r="B180" s="3"/>
    </row>
    <row r="181" spans="2:2" ht="14.25" customHeight="1" x14ac:dyDescent="0.45">
      <c r="B181" s="3"/>
    </row>
    <row r="182" spans="2:2" ht="14.25" customHeight="1" x14ac:dyDescent="0.45">
      <c r="B182" s="3"/>
    </row>
    <row r="183" spans="2:2" ht="14.25" customHeight="1" x14ac:dyDescent="0.45">
      <c r="B183" s="3"/>
    </row>
    <row r="184" spans="2:2" ht="14.25" customHeight="1" x14ac:dyDescent="0.45">
      <c r="B184" s="3"/>
    </row>
    <row r="185" spans="2:2" ht="14.25" customHeight="1" x14ac:dyDescent="0.45">
      <c r="B185" s="3"/>
    </row>
    <row r="186" spans="2:2" ht="14.25" customHeight="1" x14ac:dyDescent="0.45">
      <c r="B186" s="3"/>
    </row>
    <row r="187" spans="2:2" ht="14.25" customHeight="1" x14ac:dyDescent="0.45">
      <c r="B187" s="3"/>
    </row>
    <row r="188" spans="2:2" ht="14.25" customHeight="1" x14ac:dyDescent="0.45">
      <c r="B188" s="3"/>
    </row>
    <row r="189" spans="2:2" ht="14.25" customHeight="1" x14ac:dyDescent="0.45">
      <c r="B189" s="3"/>
    </row>
    <row r="190" spans="2:2" ht="14.25" customHeight="1" x14ac:dyDescent="0.45">
      <c r="B190" s="3"/>
    </row>
    <row r="191" spans="2:2" ht="14.25" customHeight="1" x14ac:dyDescent="0.45">
      <c r="B191" s="3"/>
    </row>
    <row r="192" spans="2:2" ht="14.25" customHeight="1" x14ac:dyDescent="0.45">
      <c r="B192" s="3"/>
    </row>
    <row r="193" spans="2:2" ht="14.25" customHeight="1" x14ac:dyDescent="0.45">
      <c r="B193" s="3"/>
    </row>
    <row r="194" spans="2:2" ht="14.25" customHeight="1" x14ac:dyDescent="0.45">
      <c r="B194" s="3"/>
    </row>
    <row r="195" spans="2:2" ht="14.25" customHeight="1" x14ac:dyDescent="0.45">
      <c r="B195" s="3"/>
    </row>
    <row r="196" spans="2:2" ht="14.25" customHeight="1" x14ac:dyDescent="0.45">
      <c r="B196" s="3"/>
    </row>
    <row r="197" spans="2:2" ht="14.25" customHeight="1" x14ac:dyDescent="0.45">
      <c r="B197" s="3"/>
    </row>
    <row r="198" spans="2:2" ht="14.25" customHeight="1" x14ac:dyDescent="0.45">
      <c r="B198" s="3"/>
    </row>
    <row r="199" spans="2:2" ht="14.25" customHeight="1" x14ac:dyDescent="0.45">
      <c r="B199" s="3"/>
    </row>
    <row r="200" spans="2:2" ht="14.25" customHeight="1" x14ac:dyDescent="0.45">
      <c r="B200" s="3"/>
    </row>
    <row r="201" spans="2:2" ht="14.25" customHeight="1" x14ac:dyDescent="0.45">
      <c r="B201" s="3"/>
    </row>
    <row r="202" spans="2:2" ht="14.25" customHeight="1" x14ac:dyDescent="0.45">
      <c r="B202" s="3"/>
    </row>
    <row r="203" spans="2:2" ht="14.25" customHeight="1" x14ac:dyDescent="0.45">
      <c r="B203" s="3"/>
    </row>
    <row r="204" spans="2:2" ht="14.25" customHeight="1" x14ac:dyDescent="0.45">
      <c r="B204" s="3"/>
    </row>
    <row r="205" spans="2:2" ht="14.25" customHeight="1" x14ac:dyDescent="0.45">
      <c r="B205" s="3"/>
    </row>
    <row r="206" spans="2:2" ht="14.25" customHeight="1" x14ac:dyDescent="0.45">
      <c r="B206" s="3"/>
    </row>
    <row r="207" spans="2:2" ht="14.25" customHeight="1" x14ac:dyDescent="0.45">
      <c r="B207" s="3"/>
    </row>
    <row r="208" spans="2:2" ht="14.25" customHeight="1" x14ac:dyDescent="0.45">
      <c r="B208" s="3"/>
    </row>
    <row r="209" spans="2:2" ht="14.25" customHeight="1" x14ac:dyDescent="0.45">
      <c r="B209" s="3"/>
    </row>
    <row r="210" spans="2:2" ht="14.25" customHeight="1" x14ac:dyDescent="0.45">
      <c r="B210" s="3"/>
    </row>
    <row r="211" spans="2:2" ht="14.25" customHeight="1" x14ac:dyDescent="0.45">
      <c r="B211" s="3"/>
    </row>
    <row r="212" spans="2:2" ht="14.25" customHeight="1" x14ac:dyDescent="0.45">
      <c r="B212" s="3"/>
    </row>
    <row r="213" spans="2:2" ht="14.25" customHeight="1" x14ac:dyDescent="0.45">
      <c r="B213" s="3"/>
    </row>
    <row r="214" spans="2:2" ht="14.25" customHeight="1" x14ac:dyDescent="0.45">
      <c r="B214" s="3"/>
    </row>
    <row r="215" spans="2:2" ht="14.25" customHeight="1" x14ac:dyDescent="0.45">
      <c r="B215" s="3"/>
    </row>
    <row r="216" spans="2:2" ht="14.25" customHeight="1" x14ac:dyDescent="0.45">
      <c r="B216" s="3"/>
    </row>
    <row r="217" spans="2:2" ht="14.25" customHeight="1" x14ac:dyDescent="0.45">
      <c r="B217" s="3"/>
    </row>
    <row r="218" spans="2:2" ht="14.25" customHeight="1" x14ac:dyDescent="0.45">
      <c r="B218" s="3"/>
    </row>
    <row r="219" spans="2:2" ht="14.25" customHeight="1" x14ac:dyDescent="0.45">
      <c r="B219" s="3"/>
    </row>
    <row r="220" spans="2:2" ht="14.25" customHeight="1" x14ac:dyDescent="0.45">
      <c r="B220" s="3"/>
    </row>
    <row r="221" spans="2:2" ht="14.25" customHeight="1" x14ac:dyDescent="0.45">
      <c r="B221" s="3"/>
    </row>
    <row r="222" spans="2:2" ht="14.25" customHeight="1" x14ac:dyDescent="0.45">
      <c r="B222" s="3"/>
    </row>
    <row r="223" spans="2:2" ht="14.25" customHeight="1" x14ac:dyDescent="0.45">
      <c r="B223" s="3"/>
    </row>
    <row r="224" spans="2:2" ht="14.25" customHeight="1" x14ac:dyDescent="0.45">
      <c r="B224" s="3"/>
    </row>
    <row r="225" spans="2:2" ht="14.25" customHeight="1" x14ac:dyDescent="0.45">
      <c r="B225" s="3"/>
    </row>
    <row r="226" spans="2:2" ht="14.25" customHeight="1" x14ac:dyDescent="0.45">
      <c r="B226" s="3"/>
    </row>
    <row r="227" spans="2:2" ht="14.25" customHeight="1" x14ac:dyDescent="0.45">
      <c r="B227" s="3"/>
    </row>
    <row r="228" spans="2:2" ht="14.25" customHeight="1" x14ac:dyDescent="0.45">
      <c r="B228" s="3"/>
    </row>
    <row r="229" spans="2:2" ht="14.25" customHeight="1" x14ac:dyDescent="0.45">
      <c r="B229" s="3"/>
    </row>
    <row r="230" spans="2:2" ht="14.25" customHeight="1" x14ac:dyDescent="0.45">
      <c r="B230" s="3"/>
    </row>
    <row r="231" spans="2:2" ht="14.25" customHeight="1" x14ac:dyDescent="0.45">
      <c r="B231" s="3"/>
    </row>
    <row r="232" spans="2:2" ht="14.25" customHeight="1" x14ac:dyDescent="0.45">
      <c r="B232" s="3"/>
    </row>
    <row r="233" spans="2:2" ht="14.25" customHeight="1" x14ac:dyDescent="0.45">
      <c r="B233" s="3"/>
    </row>
    <row r="234" spans="2:2" ht="14.25" customHeight="1" x14ac:dyDescent="0.45">
      <c r="B234" s="3"/>
    </row>
    <row r="235" spans="2:2" ht="14.25" customHeight="1" x14ac:dyDescent="0.45">
      <c r="B235" s="3"/>
    </row>
    <row r="236" spans="2:2" ht="14.25" customHeight="1" x14ac:dyDescent="0.45">
      <c r="B236" s="3"/>
    </row>
    <row r="237" spans="2:2" ht="14.25" customHeight="1" x14ac:dyDescent="0.45">
      <c r="B237" s="3"/>
    </row>
    <row r="238" spans="2:2" ht="14.25" customHeight="1" x14ac:dyDescent="0.45">
      <c r="B238" s="3"/>
    </row>
    <row r="239" spans="2:2" ht="14.25" customHeight="1" x14ac:dyDescent="0.45">
      <c r="B239" s="3"/>
    </row>
    <row r="240" spans="2:2" ht="14.25" customHeight="1" x14ac:dyDescent="0.45">
      <c r="B240" s="3"/>
    </row>
    <row r="241" spans="2:2" ht="14.25" customHeight="1" x14ac:dyDescent="0.45">
      <c r="B241" s="3"/>
    </row>
    <row r="242" spans="2:2" ht="14.25" customHeight="1" x14ac:dyDescent="0.45">
      <c r="B242" s="3"/>
    </row>
    <row r="243" spans="2:2" ht="14.25" customHeight="1" x14ac:dyDescent="0.45">
      <c r="B243" s="3"/>
    </row>
    <row r="244" spans="2:2" ht="14.25" customHeight="1" x14ac:dyDescent="0.45">
      <c r="B244" s="3"/>
    </row>
    <row r="245" spans="2:2" ht="14.25" customHeight="1" x14ac:dyDescent="0.45">
      <c r="B245" s="3"/>
    </row>
    <row r="246" spans="2:2" ht="14.25" customHeight="1" x14ac:dyDescent="0.45">
      <c r="B246" s="3"/>
    </row>
    <row r="247" spans="2:2" ht="14.25" customHeight="1" x14ac:dyDescent="0.45">
      <c r="B247" s="3"/>
    </row>
    <row r="248" spans="2:2" ht="14.25" customHeight="1" x14ac:dyDescent="0.45">
      <c r="B248" s="3"/>
    </row>
    <row r="249" spans="2:2" ht="14.25" customHeight="1" x14ac:dyDescent="0.45">
      <c r="B249" s="3"/>
    </row>
    <row r="250" spans="2:2" ht="14.25" customHeight="1" x14ac:dyDescent="0.45">
      <c r="B250" s="3"/>
    </row>
    <row r="251" spans="2:2" ht="14.25" customHeight="1" x14ac:dyDescent="0.45">
      <c r="B251" s="3"/>
    </row>
    <row r="252" spans="2:2" ht="14.25" customHeight="1" x14ac:dyDescent="0.45">
      <c r="B252" s="3"/>
    </row>
    <row r="253" spans="2:2" ht="14.25" customHeight="1" x14ac:dyDescent="0.45">
      <c r="B253" s="3"/>
    </row>
    <row r="254" spans="2:2" ht="14.25" customHeight="1" x14ac:dyDescent="0.45">
      <c r="B254" s="3"/>
    </row>
    <row r="255" spans="2:2" ht="14.25" customHeight="1" x14ac:dyDescent="0.45">
      <c r="B255" s="3"/>
    </row>
    <row r="256" spans="2:2" ht="14.25" customHeight="1" x14ac:dyDescent="0.45">
      <c r="B256" s="3"/>
    </row>
    <row r="257" spans="2:2" ht="14.25" customHeight="1" x14ac:dyDescent="0.45">
      <c r="B257" s="3"/>
    </row>
    <row r="258" spans="2:2" ht="14.25" customHeight="1" x14ac:dyDescent="0.45">
      <c r="B258" s="3"/>
    </row>
    <row r="259" spans="2:2" ht="14.25" customHeight="1" x14ac:dyDescent="0.45">
      <c r="B259" s="3"/>
    </row>
    <row r="260" spans="2:2" ht="14.25" customHeight="1" x14ac:dyDescent="0.45">
      <c r="B260" s="3"/>
    </row>
    <row r="261" spans="2:2" ht="14.25" customHeight="1" x14ac:dyDescent="0.45">
      <c r="B261" s="3"/>
    </row>
    <row r="262" spans="2:2" ht="14.25" customHeight="1" x14ac:dyDescent="0.45">
      <c r="B262" s="3"/>
    </row>
    <row r="263" spans="2:2" ht="14.25" customHeight="1" x14ac:dyDescent="0.45">
      <c r="B263" s="3"/>
    </row>
    <row r="264" spans="2:2" ht="14.25" customHeight="1" x14ac:dyDescent="0.45">
      <c r="B264" s="3"/>
    </row>
    <row r="265" spans="2:2" ht="14.25" customHeight="1" x14ac:dyDescent="0.45">
      <c r="B265" s="3"/>
    </row>
    <row r="266" spans="2:2" ht="14.25" customHeight="1" x14ac:dyDescent="0.45">
      <c r="B266" s="3"/>
    </row>
    <row r="267" spans="2:2" ht="14.25" customHeight="1" x14ac:dyDescent="0.45">
      <c r="B267" s="3"/>
    </row>
    <row r="268" spans="2:2" ht="14.25" customHeight="1" x14ac:dyDescent="0.45">
      <c r="B268" s="3"/>
    </row>
    <row r="269" spans="2:2" ht="14.25" customHeight="1" x14ac:dyDescent="0.45">
      <c r="B269" s="3"/>
    </row>
    <row r="270" spans="2:2" ht="14.25" customHeight="1" x14ac:dyDescent="0.45">
      <c r="B270" s="3"/>
    </row>
    <row r="271" spans="2:2" ht="14.25" customHeight="1" x14ac:dyDescent="0.45">
      <c r="B271" s="3"/>
    </row>
    <row r="272" spans="2:2" ht="14.25" customHeight="1" x14ac:dyDescent="0.45">
      <c r="B272" s="3"/>
    </row>
    <row r="273" spans="2:2" ht="14.25" customHeight="1" x14ac:dyDescent="0.45">
      <c r="B273" s="3"/>
    </row>
    <row r="274" spans="2:2" ht="14.25" customHeight="1" x14ac:dyDescent="0.45">
      <c r="B274" s="3"/>
    </row>
    <row r="275" spans="2:2" ht="14.25" customHeight="1" x14ac:dyDescent="0.45">
      <c r="B275" s="3"/>
    </row>
    <row r="276" spans="2:2" ht="14.25" customHeight="1" x14ac:dyDescent="0.45">
      <c r="B276" s="3"/>
    </row>
    <row r="277" spans="2:2" ht="14.25" customHeight="1" x14ac:dyDescent="0.45">
      <c r="B277" s="3"/>
    </row>
    <row r="278" spans="2:2" ht="14.25" customHeight="1" x14ac:dyDescent="0.45">
      <c r="B278" s="3"/>
    </row>
    <row r="279" spans="2:2" ht="14.25" customHeight="1" x14ac:dyDescent="0.45">
      <c r="B279" s="3"/>
    </row>
    <row r="280" spans="2:2" ht="14.25" customHeight="1" x14ac:dyDescent="0.45">
      <c r="B280" s="3"/>
    </row>
    <row r="281" spans="2:2" ht="14.25" customHeight="1" x14ac:dyDescent="0.45">
      <c r="B281" s="3"/>
    </row>
    <row r="282" spans="2:2" ht="14.25" customHeight="1" x14ac:dyDescent="0.45">
      <c r="B282" s="3"/>
    </row>
    <row r="283" spans="2:2" ht="14.25" customHeight="1" x14ac:dyDescent="0.45">
      <c r="B283" s="3"/>
    </row>
    <row r="284" spans="2:2" ht="14.25" customHeight="1" x14ac:dyDescent="0.45">
      <c r="B284" s="3"/>
    </row>
    <row r="285" spans="2:2" ht="14.25" customHeight="1" x14ac:dyDescent="0.45">
      <c r="B285" s="3"/>
    </row>
    <row r="286" spans="2:2" ht="14.25" customHeight="1" x14ac:dyDescent="0.45">
      <c r="B286" s="3"/>
    </row>
    <row r="287" spans="2:2" ht="14.25" customHeight="1" x14ac:dyDescent="0.45">
      <c r="B287" s="3"/>
    </row>
    <row r="288" spans="2:2" ht="14.25" customHeight="1" x14ac:dyDescent="0.45">
      <c r="B288" s="3"/>
    </row>
    <row r="289" spans="2:2" ht="14.25" customHeight="1" x14ac:dyDescent="0.45">
      <c r="B289" s="3"/>
    </row>
    <row r="290" spans="2:2" ht="14.25" customHeight="1" x14ac:dyDescent="0.45">
      <c r="B290" s="3"/>
    </row>
    <row r="291" spans="2:2" ht="14.25" customHeight="1" x14ac:dyDescent="0.45">
      <c r="B291" s="3"/>
    </row>
    <row r="292" spans="2:2" ht="14.25" customHeight="1" x14ac:dyDescent="0.45">
      <c r="B292" s="3"/>
    </row>
    <row r="293" spans="2:2" ht="14.25" customHeight="1" x14ac:dyDescent="0.45">
      <c r="B293" s="3"/>
    </row>
    <row r="294" spans="2:2" ht="14.25" customHeight="1" x14ac:dyDescent="0.45">
      <c r="B294" s="3"/>
    </row>
    <row r="295" spans="2:2" ht="14.25" customHeight="1" x14ac:dyDescent="0.45">
      <c r="B295" s="3"/>
    </row>
    <row r="296" spans="2:2" ht="14.25" customHeight="1" x14ac:dyDescent="0.45">
      <c r="B296" s="3"/>
    </row>
    <row r="297" spans="2:2" ht="14.25" customHeight="1" x14ac:dyDescent="0.45">
      <c r="B297" s="3"/>
    </row>
    <row r="298" spans="2:2" ht="14.25" customHeight="1" x14ac:dyDescent="0.45">
      <c r="B298" s="3"/>
    </row>
    <row r="299" spans="2:2" ht="14.25" customHeight="1" x14ac:dyDescent="0.45">
      <c r="B299" s="3"/>
    </row>
    <row r="300" spans="2:2" ht="14.25" customHeight="1" x14ac:dyDescent="0.45">
      <c r="B300" s="3"/>
    </row>
    <row r="301" spans="2:2" ht="14.25" customHeight="1" x14ac:dyDescent="0.45">
      <c r="B301" s="3"/>
    </row>
    <row r="302" spans="2:2" ht="14.25" customHeight="1" x14ac:dyDescent="0.45">
      <c r="B302" s="3"/>
    </row>
    <row r="303" spans="2:2" ht="14.25" customHeight="1" x14ac:dyDescent="0.45">
      <c r="B303" s="3"/>
    </row>
    <row r="304" spans="2:2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  <row r="788" spans="2:2" ht="14.25" customHeight="1" x14ac:dyDescent="0.45">
      <c r="B788" s="3"/>
    </row>
  </sheetData>
  <autoFilter ref="A1:I24" xr:uid="{00000000-0009-0000-0000-000002000000}">
    <filterColumn colId="0">
      <filters>
        <filter val="Mr. RAJESH KUMAR"/>
      </filters>
    </filterColumn>
    <filterColumn colId="2">
      <filters>
        <filter val="HDFC LIQUID FUND - DIRECT PLAN"/>
      </filters>
    </filterColumn>
  </autoFilter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H1002"/>
  <sheetViews>
    <sheetView workbookViewId="0">
      <pane ySplit="1" topLeftCell="A37" activePane="bottomLeft" state="frozen"/>
      <selection pane="bottomLeft" activeCell="G37" sqref="G37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hidden="1" customHeight="1" x14ac:dyDescent="0.45">
      <c r="A2" s="2" t="s">
        <v>25</v>
      </c>
      <c r="B2" s="2" t="s">
        <v>26</v>
      </c>
      <c r="C2" s="2" t="s">
        <v>27</v>
      </c>
      <c r="D2" s="2" t="s">
        <v>28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hidden="1" customHeight="1" x14ac:dyDescent="0.45">
      <c r="A3" s="2" t="s">
        <v>29</v>
      </c>
      <c r="B3" s="2" t="s">
        <v>33</v>
      </c>
      <c r="C3" s="2" t="s">
        <v>34</v>
      </c>
      <c r="D3" s="2" t="s">
        <v>28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hidden="1" customHeight="1" x14ac:dyDescent="0.45">
      <c r="A4" s="2" t="s">
        <v>29</v>
      </c>
      <c r="B4" s="2" t="s">
        <v>38</v>
      </c>
      <c r="C4" s="2" t="s">
        <v>39</v>
      </c>
      <c r="D4" s="2" t="s">
        <v>28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hidden="1" customHeight="1" x14ac:dyDescent="0.45">
      <c r="A5" s="2" t="s">
        <v>29</v>
      </c>
      <c r="B5" s="2" t="s">
        <v>40</v>
      </c>
      <c r="C5" s="2" t="s">
        <v>41</v>
      </c>
      <c r="D5" s="2" t="s">
        <v>28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hidden="1" customHeight="1" x14ac:dyDescent="0.45">
      <c r="A6" s="2" t="s">
        <v>29</v>
      </c>
      <c r="B6" s="2" t="s">
        <v>44</v>
      </c>
      <c r="C6" s="2" t="s">
        <v>45</v>
      </c>
      <c r="D6" s="2" t="s">
        <v>28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hidden="1" customHeight="1" x14ac:dyDescent="0.45">
      <c r="A7" s="2" t="s">
        <v>29</v>
      </c>
      <c r="B7" s="2" t="s">
        <v>46</v>
      </c>
      <c r="C7" s="2" t="s">
        <v>47</v>
      </c>
      <c r="D7" s="2" t="s">
        <v>28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hidden="1" customHeight="1" x14ac:dyDescent="0.45">
      <c r="A8" s="2" t="s">
        <v>29</v>
      </c>
      <c r="B8" s="2" t="s">
        <v>50</v>
      </c>
      <c r="C8" s="2" t="s">
        <v>52</v>
      </c>
      <c r="D8" s="2" t="s">
        <v>28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hidden="1" customHeight="1" x14ac:dyDescent="0.45">
      <c r="A9" s="2" t="s">
        <v>29</v>
      </c>
      <c r="B9" s="2" t="s">
        <v>54</v>
      </c>
      <c r="C9" s="2" t="s">
        <v>55</v>
      </c>
      <c r="D9" s="2" t="s">
        <v>28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hidden="1" customHeight="1" x14ac:dyDescent="0.45">
      <c r="A10" s="2" t="s">
        <v>29</v>
      </c>
      <c r="B10" s="2" t="s">
        <v>56</v>
      </c>
      <c r="C10" s="2" t="s">
        <v>57</v>
      </c>
      <c r="D10" s="2" t="s">
        <v>28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hidden="1" customHeight="1" x14ac:dyDescent="0.45">
      <c r="A11" s="2" t="s">
        <v>29</v>
      </c>
      <c r="B11" s="2" t="s">
        <v>58</v>
      </c>
      <c r="C11" s="2" t="s">
        <v>59</v>
      </c>
      <c r="D11" s="2" t="s">
        <v>28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hidden="1" customHeight="1" x14ac:dyDescent="0.45">
      <c r="A12" s="2" t="s">
        <v>29</v>
      </c>
      <c r="B12" s="2" t="s">
        <v>60</v>
      </c>
      <c r="C12" s="2" t="s">
        <v>61</v>
      </c>
      <c r="D12" s="2" t="s">
        <v>28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hidden="1" customHeight="1" x14ac:dyDescent="0.45">
      <c r="A13" s="2" t="s">
        <v>29</v>
      </c>
      <c r="B13" s="2" t="s">
        <v>64</v>
      </c>
      <c r="C13" s="2" t="s">
        <v>65</v>
      </c>
      <c r="D13" s="2" t="s">
        <v>28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hidden="1" customHeight="1" x14ac:dyDescent="0.45">
      <c r="A14" s="2" t="s">
        <v>29</v>
      </c>
      <c r="B14" s="2" t="s">
        <v>66</v>
      </c>
      <c r="C14" s="2" t="s">
        <v>67</v>
      </c>
      <c r="D14" s="2" t="s">
        <v>28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hidden="1" customHeight="1" x14ac:dyDescent="0.45">
      <c r="A15" s="2" t="s">
        <v>29</v>
      </c>
      <c r="B15" s="2" t="s">
        <v>68</v>
      </c>
      <c r="C15" s="2" t="s">
        <v>69</v>
      </c>
      <c r="D15" s="2" t="s">
        <v>28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hidden="1" customHeight="1" x14ac:dyDescent="0.45">
      <c r="A16" s="2" t="s">
        <v>29</v>
      </c>
      <c r="B16" s="2" t="s">
        <v>71</v>
      </c>
      <c r="C16" s="2" t="s">
        <v>72</v>
      </c>
      <c r="D16" s="2" t="s">
        <v>28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hidden="1" customHeight="1" x14ac:dyDescent="0.45">
      <c r="A17" s="2" t="s">
        <v>29</v>
      </c>
      <c r="B17" s="2" t="s">
        <v>73</v>
      </c>
      <c r="C17" s="2" t="s">
        <v>74</v>
      </c>
      <c r="D17" s="2" t="s">
        <v>28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hidden="1" customHeight="1" x14ac:dyDescent="0.45">
      <c r="A18" s="2" t="s">
        <v>29</v>
      </c>
      <c r="B18" s="2" t="s">
        <v>77</v>
      </c>
      <c r="C18" s="2" t="s">
        <v>78</v>
      </c>
      <c r="D18" s="2" t="s">
        <v>28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hidden="1" customHeight="1" x14ac:dyDescent="0.45">
      <c r="A19" s="2" t="s">
        <v>29</v>
      </c>
      <c r="B19" s="2" t="s">
        <v>79</v>
      </c>
      <c r="C19" s="2" t="s">
        <v>80</v>
      </c>
      <c r="D19" s="2" t="s">
        <v>28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hidden="1" customHeight="1" x14ac:dyDescent="0.45">
      <c r="A20" s="2" t="s">
        <v>29</v>
      </c>
      <c r="B20" s="2" t="s">
        <v>81</v>
      </c>
      <c r="C20" s="2" t="s">
        <v>82</v>
      </c>
      <c r="D20" s="2" t="s">
        <v>28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hidden="1" customHeight="1" x14ac:dyDescent="0.45">
      <c r="A21" s="2" t="s">
        <v>29</v>
      </c>
      <c r="B21" s="2" t="s">
        <v>83</v>
      </c>
      <c r="C21" s="2" t="s">
        <v>84</v>
      </c>
      <c r="D21" s="2" t="s">
        <v>28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hidden="1" customHeight="1" x14ac:dyDescent="0.45">
      <c r="A22" s="2" t="s">
        <v>29</v>
      </c>
      <c r="B22" s="2" t="s">
        <v>85</v>
      </c>
      <c r="C22" s="2" t="s">
        <v>86</v>
      </c>
      <c r="D22" s="2" t="s">
        <v>28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hidden="1" customHeight="1" x14ac:dyDescent="0.45">
      <c r="A23" s="2" t="s">
        <v>29</v>
      </c>
      <c r="B23" s="2" t="s">
        <v>87</v>
      </c>
      <c r="C23" s="2" t="s">
        <v>88</v>
      </c>
      <c r="D23" s="2" t="s">
        <v>28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hidden="1" customHeight="1" x14ac:dyDescent="0.45">
      <c r="A24" s="2" t="s">
        <v>29</v>
      </c>
      <c r="B24" s="2" t="s">
        <v>89</v>
      </c>
      <c r="C24" s="2" t="s">
        <v>90</v>
      </c>
      <c r="D24" s="2" t="s">
        <v>28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hidden="1" customHeight="1" x14ac:dyDescent="0.45">
      <c r="A25" s="2" t="s">
        <v>29</v>
      </c>
      <c r="B25" s="2" t="s">
        <v>91</v>
      </c>
      <c r="C25" s="2" t="s">
        <v>92</v>
      </c>
      <c r="D25" s="2" t="s">
        <v>28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hidden="1" customHeight="1" x14ac:dyDescent="0.45">
      <c r="A26" s="2" t="s">
        <v>29</v>
      </c>
      <c r="B26" s="2" t="s">
        <v>93</v>
      </c>
      <c r="C26" s="2" t="s">
        <v>94</v>
      </c>
      <c r="D26" s="2" t="s">
        <v>28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hidden="1" customHeight="1" x14ac:dyDescent="0.45">
      <c r="A27" s="2" t="s">
        <v>29</v>
      </c>
      <c r="B27" s="2" t="s">
        <v>95</v>
      </c>
      <c r="C27" s="2" t="s">
        <v>96</v>
      </c>
      <c r="D27" s="2" t="s">
        <v>28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hidden="1" customHeight="1" x14ac:dyDescent="0.45">
      <c r="A28" s="2" t="s">
        <v>29</v>
      </c>
      <c r="B28" s="2" t="s">
        <v>97</v>
      </c>
      <c r="C28" s="2" t="s">
        <v>98</v>
      </c>
      <c r="D28" s="2" t="s">
        <v>28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hidden="1" customHeight="1" x14ac:dyDescent="0.45">
      <c r="A29" s="2" t="s">
        <v>29</v>
      </c>
      <c r="B29" s="2" t="s">
        <v>99</v>
      </c>
      <c r="C29" s="2" t="s">
        <v>100</v>
      </c>
      <c r="D29" s="2" t="s">
        <v>28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hidden="1" customHeight="1" x14ac:dyDescent="0.45">
      <c r="A30" s="2" t="s">
        <v>29</v>
      </c>
      <c r="B30" s="2" t="s">
        <v>101</v>
      </c>
      <c r="C30" s="2" t="s">
        <v>102</v>
      </c>
      <c r="D30" s="2" t="s">
        <v>28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hidden="1" customHeight="1" x14ac:dyDescent="0.45">
      <c r="A31" s="2" t="s">
        <v>29</v>
      </c>
      <c r="B31" s="2" t="s">
        <v>103</v>
      </c>
      <c r="C31" s="2" t="s">
        <v>104</v>
      </c>
      <c r="D31" s="2" t="s">
        <v>28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hidden="1" customHeight="1" x14ac:dyDescent="0.45">
      <c r="A32" s="2" t="s">
        <v>29</v>
      </c>
      <c r="B32" s="20" t="s">
        <v>105</v>
      </c>
      <c r="C32" s="2" t="s">
        <v>106</v>
      </c>
      <c r="D32" s="2" t="s">
        <v>28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hidden="1" customHeight="1" x14ac:dyDescent="0.45">
      <c r="A33" s="2" t="s">
        <v>29</v>
      </c>
      <c r="B33" s="2" t="s">
        <v>107</v>
      </c>
      <c r="C33" s="2" t="s">
        <v>108</v>
      </c>
      <c r="D33" s="2" t="s">
        <v>28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hidden="1" customHeight="1" x14ac:dyDescent="0.45">
      <c r="A34" s="2" t="s">
        <v>53</v>
      </c>
      <c r="B34" s="2" t="s">
        <v>66</v>
      </c>
      <c r="C34" s="2" t="s">
        <v>67</v>
      </c>
      <c r="D34" s="2" t="s">
        <v>28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hidden="1" customHeight="1" x14ac:dyDescent="0.45">
      <c r="A35" s="2" t="s">
        <v>53</v>
      </c>
      <c r="B35" s="2" t="s">
        <v>109</v>
      </c>
      <c r="C35" s="2" t="s">
        <v>110</v>
      </c>
      <c r="D35" s="2" t="s">
        <v>28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hidden="1" customHeight="1" x14ac:dyDescent="0.45">
      <c r="A36" s="2" t="s">
        <v>29</v>
      </c>
      <c r="B36" s="2" t="s">
        <v>111</v>
      </c>
      <c r="C36" s="2" t="s">
        <v>112</v>
      </c>
      <c r="D36" s="2" t="s">
        <v>28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62</v>
      </c>
      <c r="B37" s="2" t="s">
        <v>158</v>
      </c>
      <c r="C37" s="2" t="s">
        <v>153</v>
      </c>
      <c r="D37" s="2" t="s">
        <v>28</v>
      </c>
      <c r="E37" s="7">
        <v>46252</v>
      </c>
      <c r="F37" s="2">
        <v>479</v>
      </c>
      <c r="G37" s="2">
        <v>127.26</v>
      </c>
      <c r="H37" s="2">
        <f t="shared" si="0"/>
        <v>60957.54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7" xr:uid="{00000000-0009-0000-0000-000003000000}">
    <filterColumn colId="0">
      <filters>
        <filter val="Mr. RAJESH KUMAR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FD</vt:lpstr>
      <vt:lpstr>MF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Rajesh</dc:creator>
  <cp:lastModifiedBy>ZM-TDL058</cp:lastModifiedBy>
  <dcterms:created xsi:type="dcterms:W3CDTF">2026-09-01T03:07:45Z</dcterms:created>
  <dcterms:modified xsi:type="dcterms:W3CDTF">2026-09-01T05:56:11Z</dcterms:modified>
</cp:coreProperties>
</file>