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8F66D12-A0C7-4F3B-84E9-F41D81B478B0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FD" sheetId="2" r:id="rId1"/>
    <sheet name="MF" sheetId="3" r:id="rId2"/>
    <sheet name="Stocks" sheetId="4" r:id="rId3"/>
  </sheets>
  <definedNames>
    <definedName name="_xlnm._FilterDatabase" localSheetId="0" hidden="1">FD!$A$1:$L$25</definedName>
    <definedName name="_xlnm._FilterDatabase" localSheetId="1" hidden="1">MF!$A$1:$I$26</definedName>
    <definedName name="_xlnm._FilterDatabase" localSheetId="2" hidden="1">Stocks!$A$1:$H$37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F25" i="3"/>
  <c r="F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37" i="4"/>
  <c r="L24" i="2"/>
  <c r="L23" i="2"/>
  <c r="L22" i="2"/>
  <c r="L21" i="2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9" i="3"/>
  <c r="H8" i="3"/>
  <c r="H7" i="3"/>
  <c r="H6" i="3"/>
  <c r="H5" i="3"/>
  <c r="H4" i="3"/>
  <c r="H3" i="3"/>
  <c r="H2" i="3"/>
  <c r="B34" i="2"/>
  <c r="B33" i="2"/>
  <c r="B32" i="2"/>
  <c r="B31" i="2"/>
  <c r="B30" i="2"/>
  <c r="B29" i="2"/>
  <c r="B28" i="2"/>
  <c r="B27" i="2"/>
</calcChain>
</file>

<file path=xl/sharedStrings.xml><?xml version="1.0" encoding="utf-8"?>
<sst xmlns="http://schemas.openxmlformats.org/spreadsheetml/2006/main" count="375" uniqueCount="184">
  <si>
    <t>Account Number</t>
  </si>
  <si>
    <t>Holder Name</t>
  </si>
  <si>
    <t>Deposit Date</t>
  </si>
  <si>
    <t>Maturity Date</t>
  </si>
  <si>
    <t>Currency</t>
  </si>
  <si>
    <t>Principal Amount</t>
  </si>
  <si>
    <t>Lien Amount</t>
  </si>
  <si>
    <t>Available Balance</t>
  </si>
  <si>
    <t>Maturity Amount</t>
  </si>
  <si>
    <t>Owner</t>
  </si>
  <si>
    <t>ROI % p.a.</t>
  </si>
  <si>
    <t>Tenor Years</t>
  </si>
  <si>
    <t>Tenor Months</t>
  </si>
  <si>
    <t>Folio Number</t>
  </si>
  <si>
    <t>Ticker / Symbol</t>
  </si>
  <si>
    <t>Fund Name</t>
  </si>
  <si>
    <t>Company Name</t>
  </si>
  <si>
    <t>ISIN</t>
  </si>
  <si>
    <t>Exchange</t>
  </si>
  <si>
    <t>Purchase Date</t>
  </si>
  <si>
    <t>Quantity</t>
  </si>
  <si>
    <t>Avg Buy Price</t>
  </si>
  <si>
    <t>Units</t>
  </si>
  <si>
    <t>Invested Amount</t>
  </si>
  <si>
    <t>Purchase NAV</t>
  </si>
  <si>
    <t>Mr. Janak Khandelwal</t>
  </si>
  <si>
    <t>IDFCFIRSTB</t>
  </si>
  <si>
    <t>INE092T01019</t>
  </si>
  <si>
    <t>NSE</t>
  </si>
  <si>
    <t>Mrs. KAVITA KHANDELWAL</t>
  </si>
  <si>
    <t>PARAG PARIKH FLEXI CAP FUND - DIRECT PLAN GROWTH</t>
  </si>
  <si>
    <t>INF879O01027</t>
  </si>
  <si>
    <t>INR</t>
  </si>
  <si>
    <t>BAJAJFINSV</t>
  </si>
  <si>
    <t>INE918I01026</t>
  </si>
  <si>
    <t>HDFC MID CAP FUND - DIRECT PLAN - GROWTH OPTION</t>
  </si>
  <si>
    <t>INF179K01XQ0</t>
  </si>
  <si>
    <t>BAJFINANCE</t>
  </si>
  <si>
    <t>INE296A01032</t>
  </si>
  <si>
    <t>BEL</t>
  </si>
  <si>
    <t>INE263A01024</t>
  </si>
  <si>
    <t>INVESCO INDIA SMALL CAP FUND - DIRECT GROWTH</t>
  </si>
  <si>
    <t>INF205K013T3</t>
  </si>
  <si>
    <t>BLS</t>
  </si>
  <si>
    <t>INE153T01027</t>
  </si>
  <si>
    <t>BRITANNIA</t>
  </si>
  <si>
    <t>INE216A01030</t>
  </si>
  <si>
    <t>UTI NIFTY NEXT 50 INDEX FUND - DIRECT GROWTH PLAN</t>
  </si>
  <si>
    <t>COLPAL</t>
  </si>
  <si>
    <t>INF789FC12T1</t>
  </si>
  <si>
    <t>INE259A01022</t>
  </si>
  <si>
    <t>Mr. SATYANARAYAN SHARMA</t>
  </si>
  <si>
    <t>ETERNAL</t>
  </si>
  <si>
    <t>INE758T01015</t>
  </si>
  <si>
    <t>HDFCBANK</t>
  </si>
  <si>
    <t>INE040A01034</t>
  </si>
  <si>
    <t>HDFCLIFE</t>
  </si>
  <si>
    <t>INE795G01014</t>
  </si>
  <si>
    <t>HUDCO</t>
  </si>
  <si>
    <t>INE031A01017</t>
  </si>
  <si>
    <t>Mr. RAJESH KUMAR</t>
  </si>
  <si>
    <t>USD</t>
  </si>
  <si>
    <t>ITC</t>
  </si>
  <si>
    <t>INE154A01025</t>
  </si>
  <si>
    <t>JIOFIN</t>
  </si>
  <si>
    <t>INE758E01017</t>
  </si>
  <si>
    <t>KWIL</t>
  </si>
  <si>
    <t>INE2KCE01013</t>
  </si>
  <si>
    <t>INF179KB1HP9</t>
  </si>
  <si>
    <t>MSUMI</t>
  </si>
  <si>
    <t>INE0FS801015</t>
  </si>
  <si>
    <t>NAUKRI</t>
  </si>
  <si>
    <t>INE663F01032</t>
  </si>
  <si>
    <t>PARAG PARIKH LIQUID FUND-DIRECT PLAN-GROWTH</t>
  </si>
  <si>
    <t>INF879O01068</t>
  </si>
  <si>
    <t>NLCINDIA</t>
  </si>
  <si>
    <t>INE589A01014</t>
  </si>
  <si>
    <t>PNB</t>
  </si>
  <si>
    <t>INE160A01022</t>
  </si>
  <si>
    <t>REDINGTON</t>
  </si>
  <si>
    <t>INE891D01026</t>
  </si>
  <si>
    <t>SBIN</t>
  </si>
  <si>
    <t>INE062A01020</t>
  </si>
  <si>
    <t>SUZLON</t>
  </si>
  <si>
    <t>INE040H01021</t>
  </si>
  <si>
    <t>TATAPOWER</t>
  </si>
  <si>
    <t>INE245A01021</t>
  </si>
  <si>
    <t>TMCV</t>
  </si>
  <si>
    <t>INE1TAE01010</t>
  </si>
  <si>
    <t>TMPV</t>
  </si>
  <si>
    <t>INE155A01022</t>
  </si>
  <si>
    <t>VAML</t>
  </si>
  <si>
    <t>INE1CDF01017</t>
  </si>
  <si>
    <t>VEDL</t>
  </si>
  <si>
    <t>INE205A01025</t>
  </si>
  <si>
    <t>VEDPOWER</t>
  </si>
  <si>
    <t>INE694L01019</t>
  </si>
  <si>
    <t>VISL</t>
  </si>
  <si>
    <t>INE1CLE01013</t>
  </si>
  <si>
    <t>VOGL</t>
  </si>
  <si>
    <t>INE704J01044</t>
  </si>
  <si>
    <t>WELSPUNLIV</t>
  </si>
  <si>
    <t>INE192B01031</t>
  </si>
  <si>
    <t>ALANKIT</t>
  </si>
  <si>
    <t>INE914E01040</t>
  </si>
  <si>
    <t>BHARTIARTL</t>
  </si>
  <si>
    <t>INE397D01024</t>
  </si>
  <si>
    <t>SGBSEP31II-GB</t>
  </si>
  <si>
    <t>IN0020230093</t>
  </si>
  <si>
    <t>SGBMR29XII-GB</t>
  </si>
  <si>
    <t>IN0020200427</t>
  </si>
  <si>
    <t>INR - Total Principal</t>
  </si>
  <si>
    <t>INR - Total Maturity Value</t>
  </si>
  <si>
    <t>INR - Blocked (Lien)</t>
  </si>
  <si>
    <t>INR - Available</t>
  </si>
  <si>
    <t>USD - Total Principal</t>
  </si>
  <si>
    <t>USD - Total Maturity Value</t>
  </si>
  <si>
    <t>USD - Available</t>
  </si>
  <si>
    <t>Next maturity date</t>
  </si>
  <si>
    <t>Quant Small Cap Fund Direct Plan Growth</t>
  </si>
  <si>
    <t>INF966L01689</t>
  </si>
  <si>
    <t>2023.06.20</t>
  </si>
  <si>
    <t>Kotak Hybrid Equity Fund Growth</t>
  </si>
  <si>
    <t>INF174K01E92</t>
  </si>
  <si>
    <t>2019.02.11</t>
  </si>
  <si>
    <t>Kotak Infrastructure &amp; Economic Reform Fund Direct Growth</t>
  </si>
  <si>
    <t>INF178L01AL9</t>
  </si>
  <si>
    <t>2023.06.21</t>
  </si>
  <si>
    <t>Axis Large Cap Fund Direct Growth</t>
  </si>
  <si>
    <t>INF846K01DP8</t>
  </si>
  <si>
    <t>2025.03.03</t>
  </si>
  <si>
    <t>ICICI Prudential Value Discovery Fund Direct Growth</t>
  </si>
  <si>
    <t>INF109K012K1</t>
  </si>
  <si>
    <t>2018.01.08</t>
  </si>
  <si>
    <t>ICICI Prudential BHARAT 22 FOF Direct Growth</t>
  </si>
  <si>
    <t>INF109KC1FX1</t>
  </si>
  <si>
    <t>2024.11.08</t>
  </si>
  <si>
    <t>DSP Large Cap Fund Growth</t>
  </si>
  <si>
    <t>INF740K01PR3</t>
  </si>
  <si>
    <t>HDFC Large Cap Fund Growth - Regular</t>
  </si>
  <si>
    <t>INF179K01BE2</t>
  </si>
  <si>
    <t>SBI Contra Direct Plan Growth</t>
  </si>
  <si>
    <t>INF200K01RA0</t>
  </si>
  <si>
    <t>INF740KA1MG9</t>
  </si>
  <si>
    <t>INF843K01AO4</t>
  </si>
  <si>
    <t>INF109K018M4</t>
  </si>
  <si>
    <t>INF00XX01747</t>
  </si>
  <si>
    <t>INF204KB17I5</t>
  </si>
  <si>
    <t>INF179K01VX0</t>
  </si>
  <si>
    <t>ICICI Prudential Gold ETF FoF Growth</t>
  </si>
  <si>
    <t>2026.08.18</t>
  </si>
  <si>
    <t>INF109K01TK8</t>
  </si>
  <si>
    <t>GOLDBEES</t>
  </si>
  <si>
    <t>DSP NIFTY NEXT 50 INDEX FUND - DIRECT PLAN</t>
  </si>
  <si>
    <t>EDELWEISS MID CAP FUND - DIRECT PLAN</t>
  </si>
  <si>
    <t>HDFC LIQUID FUND - DIRECT PLAN</t>
  </si>
  <si>
    <t>ICICI PRUDENTIAL INFRASTRUCTURE FUND - DIRECT PLAN</t>
  </si>
  <si>
    <t>ITI SMALL CAP FUND - DIRECT PLAN</t>
  </si>
  <si>
    <t>PARAG PARIKH FLEXI CAP FUND - DIRECT PLAN</t>
  </si>
  <si>
    <t>2026.09.01</t>
  </si>
  <si>
    <t>HDFC Gold ETF Fund of Fund</t>
  </si>
  <si>
    <t>ABC123</t>
  </si>
  <si>
    <t>ABC124</t>
  </si>
  <si>
    <t>ABC126</t>
  </si>
  <si>
    <t>ABC128</t>
  </si>
  <si>
    <t>ABC130</t>
  </si>
  <si>
    <t>ABC132</t>
  </si>
  <si>
    <t>ABC134</t>
  </si>
  <si>
    <t>ABC136</t>
  </si>
  <si>
    <t>ABC138</t>
  </si>
  <si>
    <t>ABC140</t>
  </si>
  <si>
    <t>ABC142</t>
  </si>
  <si>
    <t>ABC144</t>
  </si>
  <si>
    <t>ABC146</t>
  </si>
  <si>
    <t>ABC148</t>
  </si>
  <si>
    <t>ABC150</t>
  </si>
  <si>
    <t>ABC152</t>
  </si>
  <si>
    <t>ABC154</t>
  </si>
  <si>
    <t>ABC156</t>
  </si>
  <si>
    <t>ABC158</t>
  </si>
  <si>
    <t>ABC160</t>
  </si>
  <si>
    <t>ABC162</t>
  </si>
  <si>
    <t>ABC164</t>
  </si>
  <si>
    <t>ABC166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</si>
</sst>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mm/dd/yyyy"/>
    <numFmt numFmtId="165" formatCode="yyyy\-mm\-dd"/>
    <numFmt numFmtId="166" formatCode="_-* #,##0.00_-;\-* #,##0.00_-;_-* &quot;-&quot;??_-;_-@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164" fontId="5" fillId="0" borderId="0" xfId="0" applyNumberFormat="1" applyFont="1"/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vertical="center" wrapText="1"/>
    </xf>
    <xf numFmtId="2" fontId="6" fillId="0" borderId="0" xfId="0" applyNumberFormat="1" applyFont="1"/>
    <xf numFmtId="2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vertical="center" wrapText="1"/>
    </xf>
    <xf numFmtId="2" fontId="5" fillId="0" borderId="0" xfId="0" applyNumberFormat="1" applyFont="1"/>
    <xf numFmtId="1" fontId="5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4" fontId="6" fillId="0" borderId="0" xfId="0" applyNumberFormat="1" applyFont="1"/>
    <xf numFmtId="0" fontId="7" fillId="0" borderId="0" xfId="0" applyFont="1"/>
    <xf numFmtId="15" fontId="6" fillId="0" borderId="0" xfId="0" applyNumberFormat="1" applyFont="1"/>
    <xf numFmtId="43" fontId="0" fillId="0" borderId="0" xfId="0" applyNumberFormat="1"/>
    <xf numFmtId="43" fontId="5" fillId="0" borderId="0" xfId="0" applyNumberFormat="1" applyFont="1"/>
    <xf numFmtId="0" fontId="3" fillId="0" borderId="0" xfId="0" applyFont="1"/>
    <xf numFmtId="2" fontId="8" fillId="0" borderId="0" xfId="0" applyNumberFormat="1" applyFont="1"/>
    <xf numFmtId="0" fontId="2" fillId="0" borderId="0" xfId="0" applyFont="1"/>
    <xf numFmtId="2" fontId="8" fillId="0" borderId="0" xfId="0" applyNumberFormat="1" applyFont="1" applyAlignment="1">
      <alignment horizontal="right"/>
    </xf>
    <xf numFmtId="1" fontId="6" fillId="0" borderId="0" xfId="0" applyNumberFormat="1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21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8FF"/>
          <bgColor rgb="FFF9F8FF"/>
        </patternFill>
      </fill>
    </dxf>
    <dxf>
      <fill>
        <patternFill patternType="solid">
          <fgColor rgb="FF465D92"/>
          <bgColor rgb="FF465D9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name="Summary-style" pivot="0" count="4" xr9:uid="{00000000-0011-0000-FFFF-FFFF00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Summary-style 2" pivot="0" count="2" xr9:uid="{00000000-0011-0000-FFFF-FFFF01000000}">
      <tableStyleElement type="firstRowStripe" dxfId="16"/>
      <tableStyleElement type="secondRowStripe" dxfId="15"/>
    </tableStyle>
    <tableStyle name="Dashboard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PROFILE-style" pivot="0" count="4" xr9:uid="{00000000-0011-0000-FFFF-FFFF03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WEALTH_ENGINE-style" pivot="0" count="2" xr9:uid="{00000000-0011-0000-FFFF-FFFF04000000}">
      <tableStyleElement type="firstRowStripe" dxfId="7"/>
      <tableStyleElement type="secondRowStripe" dxfId="6"/>
    </tableStyle>
    <tableStyle name="WEALTH_ENGINE-style 2" pivot="0" count="2" xr9:uid="{00000000-0011-0000-FFFF-FFFF05000000}">
      <tableStyleElement type="firstRowStripe" dxfId="5"/>
      <tableStyleElement type="secondRowStripe" dxfId="4"/>
    </tableStyle>
    <tableStyle name="WEALTH_ENGINE-style 3" pivot="0" count="2" xr9:uid="{00000000-0011-0000-FFFF-FFFF06000000}">
      <tableStyleElement type="firstRowStripe" dxfId="3"/>
      <tableStyleElement type="secondRowStripe" dxfId="2"/>
    </tableStyle>
    <tableStyle name="WEALTH_ENGINE-style 4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4"/>
  <sheetViews>
    <sheetView tabSelected="1" zoomScale="85" zoomScaleNormal="85" workbookViewId="0">
      <selection activeCell="B27" sqref="B27"/>
    </sheetView>
  </sheetViews>
  <sheetFormatPr defaultColWidth="14.3984375" defaultRowHeight="15" customHeight="1" x14ac:dyDescent="0.45"/>
  <cols>
    <col min="1" max="1" width="14.53125" customWidth="1"/>
    <col min="2" max="2" width="27.53125" customWidth="1"/>
    <col min="3" max="3" width="12.3984375" customWidth="1"/>
    <col min="4" max="4" width="13.3984375" customWidth="1"/>
    <col min="5" max="5" width="8.86328125" customWidth="1"/>
    <col min="6" max="6" width="16.3984375" customWidth="1"/>
    <col min="7" max="7" width="12.265625" customWidth="1"/>
    <col min="8" max="8" width="16.73046875" customWidth="1"/>
    <col min="9" max="9" width="16.3984375" customWidth="1"/>
    <col min="10" max="10" width="9.86328125" customWidth="1"/>
    <col min="11" max="11" width="8.3984375" customWidth="1"/>
    <col min="12" max="12" width="8.86328125" customWidth="1"/>
    <col min="13" max="14" width="9.86328125" bestFit="1" customWidth="1"/>
    <col min="15" max="19" width="8.73046875" customWidth="1"/>
  </cols>
  <sheetData>
    <row r="1" spans="1:19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5"/>
      <c r="N1" s="5"/>
      <c r="O1" s="5"/>
      <c r="P1" s="5"/>
      <c r="Q1" s="5"/>
      <c r="R1" s="5"/>
      <c r="S1" s="5"/>
    </row>
    <row r="2" spans="1:19" ht="14.25" customHeight="1" x14ac:dyDescent="0.45">
      <c r="A2" s="28" t="s">
        <v>161</v>
      </c>
      <c r="B2" s="6" t="s">
        <v>29</v>
      </c>
      <c r="C2" s="9">
        <v>45959</v>
      </c>
      <c r="D2" s="9">
        <v>46403</v>
      </c>
      <c r="E2" s="6" t="s">
        <v>32</v>
      </c>
      <c r="F2" s="11">
        <v>50000</v>
      </c>
      <c r="G2" s="11">
        <v>50000</v>
      </c>
      <c r="H2" s="11">
        <v>0</v>
      </c>
      <c r="I2" s="11">
        <v>54145</v>
      </c>
      <c r="J2" s="14">
        <v>6.6</v>
      </c>
      <c r="K2" s="6">
        <v>0</v>
      </c>
      <c r="L2" s="6">
        <v>14</v>
      </c>
    </row>
    <row r="3" spans="1:19" ht="14.25" customHeight="1" x14ac:dyDescent="0.45">
      <c r="A3" s="28" t="s">
        <v>162</v>
      </c>
      <c r="B3" s="6" t="s">
        <v>29</v>
      </c>
      <c r="C3" s="9">
        <v>42725</v>
      </c>
      <c r="D3" s="9">
        <v>47108</v>
      </c>
      <c r="E3" s="6" t="s">
        <v>32</v>
      </c>
      <c r="F3" s="11">
        <v>44009</v>
      </c>
      <c r="G3" s="11">
        <v>25000</v>
      </c>
      <c r="H3" s="11">
        <v>19009</v>
      </c>
      <c r="I3" s="11">
        <v>53086</v>
      </c>
      <c r="J3" s="14">
        <v>6.3</v>
      </c>
      <c r="K3" s="6">
        <v>3</v>
      </c>
      <c r="L3" s="6">
        <v>36</v>
      </c>
    </row>
    <row r="4" spans="1:19" ht="14.25" customHeight="1" x14ac:dyDescent="0.45">
      <c r="A4" s="28" t="s">
        <v>163</v>
      </c>
      <c r="B4" s="6" t="s">
        <v>29</v>
      </c>
      <c r="C4" s="9">
        <v>43725</v>
      </c>
      <c r="D4" s="9">
        <v>46388</v>
      </c>
      <c r="E4" s="6" t="s">
        <v>32</v>
      </c>
      <c r="F4" s="11">
        <v>72029</v>
      </c>
      <c r="G4" s="11">
        <v>0</v>
      </c>
      <c r="H4" s="11">
        <v>72029</v>
      </c>
      <c r="I4" s="11">
        <v>77097</v>
      </c>
      <c r="J4" s="14">
        <v>6.25</v>
      </c>
      <c r="K4" s="6">
        <v>1</v>
      </c>
      <c r="L4" s="6">
        <v>13</v>
      </c>
    </row>
    <row r="5" spans="1:19" ht="14.25" customHeight="1" x14ac:dyDescent="0.45">
      <c r="A5" s="28" t="s">
        <v>164</v>
      </c>
      <c r="B5" s="6" t="s">
        <v>29</v>
      </c>
      <c r="C5" s="9">
        <v>45215</v>
      </c>
      <c r="D5" s="9">
        <v>46412</v>
      </c>
      <c r="E5" s="6" t="s">
        <v>32</v>
      </c>
      <c r="F5" s="11">
        <v>54960</v>
      </c>
      <c r="G5" s="11">
        <v>0</v>
      </c>
      <c r="H5" s="11">
        <v>54960</v>
      </c>
      <c r="I5" s="11">
        <v>58817</v>
      </c>
      <c r="J5" s="14">
        <v>6.25</v>
      </c>
      <c r="K5" s="6">
        <v>1</v>
      </c>
      <c r="L5" s="6">
        <v>13</v>
      </c>
    </row>
    <row r="6" spans="1:19" ht="14.25" customHeight="1" x14ac:dyDescent="0.45">
      <c r="A6" s="28" t="s">
        <v>165</v>
      </c>
      <c r="B6" s="6" t="s">
        <v>51</v>
      </c>
      <c r="C6" s="9">
        <v>45937</v>
      </c>
      <c r="D6" s="9">
        <v>46333</v>
      </c>
      <c r="E6" s="6" t="s">
        <v>32</v>
      </c>
      <c r="F6" s="11">
        <v>200000</v>
      </c>
      <c r="G6" s="11">
        <v>0</v>
      </c>
      <c r="H6" s="11">
        <v>200000</v>
      </c>
      <c r="I6" s="11">
        <v>215072</v>
      </c>
      <c r="J6" s="14">
        <v>6.75</v>
      </c>
      <c r="K6" s="6">
        <v>1</v>
      </c>
      <c r="L6" s="6">
        <v>13</v>
      </c>
    </row>
    <row r="7" spans="1:19" ht="14.25" customHeight="1" x14ac:dyDescent="0.45">
      <c r="A7" s="28" t="s">
        <v>166</v>
      </c>
      <c r="B7" s="6" t="s">
        <v>51</v>
      </c>
      <c r="C7" s="9">
        <v>45771</v>
      </c>
      <c r="D7" s="9">
        <v>46501</v>
      </c>
      <c r="E7" s="6" t="s">
        <v>32</v>
      </c>
      <c r="F7" s="11">
        <v>300000</v>
      </c>
      <c r="G7" s="11">
        <v>0</v>
      </c>
      <c r="H7" s="11">
        <v>300000</v>
      </c>
      <c r="I7" s="11">
        <v>347384</v>
      </c>
      <c r="J7" s="14">
        <v>7.4</v>
      </c>
      <c r="K7" s="6">
        <v>2</v>
      </c>
      <c r="L7" s="6">
        <v>24</v>
      </c>
    </row>
    <row r="8" spans="1:19" ht="14.25" customHeight="1" x14ac:dyDescent="0.45">
      <c r="A8" s="28" t="s">
        <v>167</v>
      </c>
      <c r="B8" s="2" t="s">
        <v>51</v>
      </c>
      <c r="C8" s="17">
        <v>45092</v>
      </c>
      <c r="D8" s="17">
        <v>46292</v>
      </c>
      <c r="E8" s="2" t="s">
        <v>32</v>
      </c>
      <c r="F8" s="18">
        <v>77621</v>
      </c>
      <c r="G8" s="18">
        <v>0</v>
      </c>
      <c r="H8" s="18">
        <v>77621</v>
      </c>
      <c r="I8" s="18">
        <v>83532</v>
      </c>
      <c r="J8" s="19">
        <v>6.75</v>
      </c>
      <c r="K8" s="2">
        <v>0</v>
      </c>
      <c r="L8" s="2">
        <v>13</v>
      </c>
    </row>
    <row r="9" spans="1:19" ht="14.25" customHeight="1" x14ac:dyDescent="0.45">
      <c r="A9" s="28" t="s">
        <v>168</v>
      </c>
      <c r="B9" s="2" t="s">
        <v>60</v>
      </c>
      <c r="C9" s="17">
        <v>46035</v>
      </c>
      <c r="D9" s="17">
        <v>46759</v>
      </c>
      <c r="E9" s="2" t="s">
        <v>61</v>
      </c>
      <c r="F9" s="18">
        <v>7467.76</v>
      </c>
      <c r="G9" s="18">
        <v>0</v>
      </c>
      <c r="H9" s="18">
        <v>7467.76</v>
      </c>
      <c r="I9" s="18">
        <v>8199.14</v>
      </c>
      <c r="J9" s="19">
        <v>4.7</v>
      </c>
      <c r="K9" s="2">
        <v>1</v>
      </c>
      <c r="L9" s="2">
        <v>24</v>
      </c>
    </row>
    <row r="10" spans="1:19" ht="14.25" customHeight="1" x14ac:dyDescent="0.45">
      <c r="A10" s="28" t="s">
        <v>169</v>
      </c>
      <c r="B10" s="2" t="s">
        <v>60</v>
      </c>
      <c r="C10" s="17">
        <v>45944</v>
      </c>
      <c r="D10" s="17">
        <v>46309</v>
      </c>
      <c r="E10" s="2" t="s">
        <v>61</v>
      </c>
      <c r="F10" s="18">
        <v>7324.09</v>
      </c>
      <c r="G10" s="18">
        <v>0</v>
      </c>
      <c r="H10" s="18">
        <v>7324.09</v>
      </c>
      <c r="I10" s="18">
        <v>7695.38</v>
      </c>
      <c r="J10" s="19">
        <v>5</v>
      </c>
      <c r="K10" s="2">
        <v>1</v>
      </c>
      <c r="L10" s="2">
        <v>12</v>
      </c>
    </row>
    <row r="11" spans="1:19" ht="14.25" customHeight="1" x14ac:dyDescent="0.45">
      <c r="A11" s="28" t="s">
        <v>170</v>
      </c>
      <c r="B11" s="2" t="s">
        <v>60</v>
      </c>
      <c r="C11" s="17">
        <v>46260</v>
      </c>
      <c r="D11" s="17">
        <v>47356</v>
      </c>
      <c r="E11" s="2" t="s">
        <v>61</v>
      </c>
      <c r="F11" s="18">
        <v>7695.16</v>
      </c>
      <c r="G11" s="18">
        <v>0</v>
      </c>
      <c r="H11" s="18">
        <v>7695.16</v>
      </c>
      <c r="I11" s="18">
        <v>9281.24</v>
      </c>
      <c r="J11" s="19">
        <v>6.25</v>
      </c>
      <c r="K11" s="2">
        <v>3</v>
      </c>
      <c r="L11" s="2">
        <v>36</v>
      </c>
      <c r="M11" s="22"/>
      <c r="N11" s="23"/>
      <c r="O11" s="23"/>
    </row>
    <row r="12" spans="1:19" ht="14.25" customHeight="1" x14ac:dyDescent="0.45">
      <c r="A12" s="28" t="s">
        <v>171</v>
      </c>
      <c r="B12" s="2" t="s">
        <v>60</v>
      </c>
      <c r="C12" s="17">
        <v>45755</v>
      </c>
      <c r="D12" s="17">
        <v>46454</v>
      </c>
      <c r="E12" s="2" t="s">
        <v>61</v>
      </c>
      <c r="F12" s="18">
        <v>9530.31</v>
      </c>
      <c r="G12" s="18">
        <v>0</v>
      </c>
      <c r="H12" s="18">
        <v>9530.31</v>
      </c>
      <c r="I12" s="18">
        <v>10589.52</v>
      </c>
      <c r="J12" s="19">
        <v>5.5</v>
      </c>
      <c r="K12" s="2">
        <v>1</v>
      </c>
      <c r="L12" s="2">
        <v>23</v>
      </c>
    </row>
    <row r="13" spans="1:19" ht="14.25" customHeight="1" x14ac:dyDescent="0.45">
      <c r="A13" s="28" t="s">
        <v>172</v>
      </c>
      <c r="B13" s="2" t="s">
        <v>60</v>
      </c>
      <c r="C13" s="17">
        <v>45672</v>
      </c>
      <c r="D13" s="17">
        <v>46371</v>
      </c>
      <c r="E13" s="2" t="s">
        <v>61</v>
      </c>
      <c r="F13" s="18">
        <v>6732.37</v>
      </c>
      <c r="G13" s="18">
        <v>0</v>
      </c>
      <c r="H13" s="18">
        <v>6732.37</v>
      </c>
      <c r="I13" s="18">
        <v>7480.61</v>
      </c>
      <c r="J13" s="19">
        <v>5.5</v>
      </c>
      <c r="K13" s="2">
        <v>1</v>
      </c>
      <c r="L13" s="2">
        <v>23</v>
      </c>
      <c r="N13" s="2"/>
      <c r="O13" s="2"/>
    </row>
    <row r="14" spans="1:19" ht="14.25" customHeight="1" x14ac:dyDescent="0.45">
      <c r="A14" s="28" t="s">
        <v>173</v>
      </c>
      <c r="B14" s="2" t="s">
        <v>60</v>
      </c>
      <c r="C14" s="17">
        <v>46266</v>
      </c>
      <c r="D14" s="17">
        <v>47362</v>
      </c>
      <c r="E14" s="2" t="s">
        <v>61</v>
      </c>
      <c r="F14" s="18">
        <v>11600.12</v>
      </c>
      <c r="G14" s="18">
        <v>0</v>
      </c>
      <c r="H14" s="18">
        <v>11600.12</v>
      </c>
      <c r="I14" s="18">
        <v>12325.127500000001</v>
      </c>
      <c r="J14" s="19">
        <v>6.25</v>
      </c>
      <c r="K14" s="2">
        <v>3</v>
      </c>
      <c r="L14" s="2">
        <v>36</v>
      </c>
      <c r="M14" s="22"/>
      <c r="N14" s="22"/>
    </row>
    <row r="15" spans="1:19" ht="14.25" customHeight="1" x14ac:dyDescent="0.45">
      <c r="A15" s="28" t="s">
        <v>174</v>
      </c>
      <c r="B15" s="2" t="s">
        <v>60</v>
      </c>
      <c r="C15" s="17">
        <v>45478</v>
      </c>
      <c r="D15" s="17">
        <v>46878</v>
      </c>
      <c r="E15" s="2" t="s">
        <v>61</v>
      </c>
      <c r="F15" s="18">
        <v>7537.41</v>
      </c>
      <c r="G15" s="18">
        <v>0</v>
      </c>
      <c r="H15" s="18">
        <v>7537.41</v>
      </c>
      <c r="I15" s="18">
        <v>8203.25</v>
      </c>
      <c r="J15" s="19">
        <v>5.65</v>
      </c>
      <c r="K15" s="2">
        <v>1</v>
      </c>
      <c r="L15" s="2">
        <v>23</v>
      </c>
    </row>
    <row r="16" spans="1:19" ht="14.25" customHeight="1" x14ac:dyDescent="0.45">
      <c r="A16" s="28" t="s">
        <v>175</v>
      </c>
      <c r="B16" s="2" t="s">
        <v>60</v>
      </c>
      <c r="C16" s="17">
        <v>45300</v>
      </c>
      <c r="D16" s="17">
        <v>46396</v>
      </c>
      <c r="E16" s="2" t="s">
        <v>61</v>
      </c>
      <c r="F16" s="18">
        <v>7725.96</v>
      </c>
      <c r="G16" s="18">
        <v>0</v>
      </c>
      <c r="H16" s="18">
        <v>7725.96</v>
      </c>
      <c r="I16" s="18">
        <v>8094.12</v>
      </c>
      <c r="J16" s="19">
        <v>4.7</v>
      </c>
      <c r="K16" s="2">
        <v>1</v>
      </c>
      <c r="L16" s="2">
        <v>36</v>
      </c>
    </row>
    <row r="17" spans="1:12" ht="14.25" customHeight="1" x14ac:dyDescent="0.45">
      <c r="A17" s="28" t="s">
        <v>176</v>
      </c>
      <c r="B17" s="2" t="s">
        <v>60</v>
      </c>
      <c r="C17" s="17">
        <v>46134</v>
      </c>
      <c r="D17" s="17">
        <v>46499</v>
      </c>
      <c r="E17" s="2" t="s">
        <v>61</v>
      </c>
      <c r="F17" s="18">
        <v>7828.35</v>
      </c>
      <c r="G17" s="18">
        <v>0</v>
      </c>
      <c r="H17" s="18">
        <v>7929.77</v>
      </c>
      <c r="I17" s="18">
        <v>8177.58</v>
      </c>
      <c r="J17" s="19">
        <v>4.4000000000000004</v>
      </c>
      <c r="K17" s="2">
        <v>1</v>
      </c>
      <c r="L17" s="2">
        <v>24</v>
      </c>
    </row>
    <row r="18" spans="1:12" ht="14.25" customHeight="1" x14ac:dyDescent="0.45">
      <c r="A18" s="28" t="s">
        <v>177</v>
      </c>
      <c r="B18" s="2" t="s">
        <v>60</v>
      </c>
      <c r="C18" s="17">
        <v>45698</v>
      </c>
      <c r="D18" s="17">
        <v>46498</v>
      </c>
      <c r="E18" s="2" t="s">
        <v>32</v>
      </c>
      <c r="F18" s="18">
        <v>422022</v>
      </c>
      <c r="G18" s="18">
        <v>400000</v>
      </c>
      <c r="H18" s="18">
        <v>0</v>
      </c>
      <c r="I18" s="18">
        <v>451714</v>
      </c>
      <c r="J18" s="19">
        <v>6.25</v>
      </c>
      <c r="K18" s="2">
        <v>0</v>
      </c>
      <c r="L18" s="2">
        <v>13</v>
      </c>
    </row>
    <row r="19" spans="1:12" ht="14.25" customHeight="1" x14ac:dyDescent="0.45">
      <c r="A19" s="28" t="s">
        <v>178</v>
      </c>
      <c r="B19" s="2" t="s">
        <v>60</v>
      </c>
      <c r="C19" s="17">
        <v>44495</v>
      </c>
      <c r="D19" s="17">
        <v>46686</v>
      </c>
      <c r="E19" s="2" t="s">
        <v>32</v>
      </c>
      <c r="F19" s="18">
        <v>2342229</v>
      </c>
      <c r="G19" s="18">
        <v>0</v>
      </c>
      <c r="H19" s="18">
        <v>2342229</v>
      </c>
      <c r="I19" s="18">
        <v>2863124</v>
      </c>
      <c r="J19" s="19">
        <v>6.75</v>
      </c>
      <c r="K19" s="2">
        <v>3</v>
      </c>
      <c r="L19" s="2">
        <v>72</v>
      </c>
    </row>
    <row r="20" spans="1:12" ht="14.25" customHeight="1" x14ac:dyDescent="0.45">
      <c r="A20" s="28" t="s">
        <v>179</v>
      </c>
      <c r="B20" s="2" t="s">
        <v>60</v>
      </c>
      <c r="C20" s="17">
        <v>46211</v>
      </c>
      <c r="D20" s="17">
        <v>47307</v>
      </c>
      <c r="E20" s="2" t="s">
        <v>61</v>
      </c>
      <c r="F20" s="18">
        <v>7690.81</v>
      </c>
      <c r="G20" s="18">
        <v>0</v>
      </c>
      <c r="H20" s="18">
        <v>7690.81</v>
      </c>
      <c r="I20" s="18">
        <v>9005.41</v>
      </c>
      <c r="J20" s="19">
        <v>5.25</v>
      </c>
      <c r="K20" s="2">
        <v>3</v>
      </c>
      <c r="L20" s="2">
        <v>36</v>
      </c>
    </row>
    <row r="21" spans="1:12" ht="14.25" customHeight="1" x14ac:dyDescent="0.45">
      <c r="A21" s="28" t="s">
        <v>180</v>
      </c>
      <c r="B21" s="2" t="s">
        <v>60</v>
      </c>
      <c r="C21" s="17">
        <v>46235</v>
      </c>
      <c r="D21" s="17">
        <v>47331</v>
      </c>
      <c r="E21" s="2" t="s">
        <v>61</v>
      </c>
      <c r="F21" s="18">
        <v>7000</v>
      </c>
      <c r="G21" s="18">
        <v>0</v>
      </c>
      <c r="H21" s="18">
        <v>7000</v>
      </c>
      <c r="I21" s="18">
        <v>8442.81</v>
      </c>
      <c r="J21" s="19">
        <v>6.25</v>
      </c>
      <c r="K21" s="2">
        <v>3</v>
      </c>
      <c r="L21" s="2">
        <f t="shared" ref="L21:L24" si="0">K21*12</f>
        <v>36</v>
      </c>
    </row>
    <row r="22" spans="1:12" ht="14.25" customHeight="1" x14ac:dyDescent="0.45">
      <c r="A22" s="28" t="s">
        <v>181</v>
      </c>
      <c r="B22" s="2" t="s">
        <v>60</v>
      </c>
      <c r="C22" s="17">
        <v>46235</v>
      </c>
      <c r="D22" s="17">
        <v>47331</v>
      </c>
      <c r="E22" s="2" t="s">
        <v>61</v>
      </c>
      <c r="F22" s="18">
        <v>7000</v>
      </c>
      <c r="G22" s="18">
        <v>0</v>
      </c>
      <c r="H22" s="18">
        <v>7000</v>
      </c>
      <c r="I22" s="18">
        <v>8442.81</v>
      </c>
      <c r="J22" s="19">
        <v>6.25</v>
      </c>
      <c r="K22" s="2">
        <v>3</v>
      </c>
      <c r="L22" s="2">
        <f t="shared" si="0"/>
        <v>36</v>
      </c>
    </row>
    <row r="23" spans="1:12" ht="14.25" customHeight="1" x14ac:dyDescent="0.45">
      <c r="A23" s="28" t="s">
        <v>182</v>
      </c>
      <c r="B23" s="2" t="s">
        <v>60</v>
      </c>
      <c r="C23" s="17">
        <v>46235</v>
      </c>
      <c r="D23" s="17">
        <v>47331</v>
      </c>
      <c r="E23" s="2" t="s">
        <v>61</v>
      </c>
      <c r="F23" s="18">
        <v>7000</v>
      </c>
      <c r="G23" s="18">
        <v>0</v>
      </c>
      <c r="H23" s="18">
        <v>7000</v>
      </c>
      <c r="I23" s="18">
        <v>8442.81</v>
      </c>
      <c r="J23" s="19">
        <v>6.25</v>
      </c>
      <c r="K23" s="2">
        <v>3</v>
      </c>
      <c r="L23" s="2">
        <f t="shared" si="0"/>
        <v>36</v>
      </c>
    </row>
    <row r="24" spans="1:12" ht="14.25" customHeight="1" x14ac:dyDescent="0.45">
      <c r="A24" s="28" t="s">
        <v>183</v>
      </c>
      <c r="B24" s="2" t="s">
        <v>60</v>
      </c>
      <c r="C24" s="17">
        <v>46235</v>
      </c>
      <c r="D24" s="17">
        <v>47331</v>
      </c>
      <c r="E24" s="2" t="s">
        <v>61</v>
      </c>
      <c r="F24" s="18">
        <v>7000</v>
      </c>
      <c r="G24" s="18">
        <v>0</v>
      </c>
      <c r="H24" s="18">
        <v>7000</v>
      </c>
      <c r="I24" s="18">
        <v>8442.81</v>
      </c>
      <c r="J24" s="19">
        <v>6.25</v>
      </c>
      <c r="K24" s="2">
        <v>3</v>
      </c>
      <c r="L24" s="2">
        <f t="shared" si="0"/>
        <v>36</v>
      </c>
    </row>
    <row r="25" spans="1:12" ht="14.25" customHeight="1" x14ac:dyDescent="0.45">
      <c r="A25" s="16"/>
      <c r="B25" s="2"/>
      <c r="C25" s="17"/>
      <c r="D25" s="17"/>
      <c r="E25" s="2"/>
      <c r="F25" s="18"/>
      <c r="G25" s="18"/>
      <c r="H25" s="18"/>
      <c r="I25" s="18"/>
      <c r="J25" s="19"/>
      <c r="K25" s="2"/>
      <c r="L25" s="2"/>
    </row>
    <row r="26" spans="1:12" ht="14.25" customHeight="1" x14ac:dyDescent="0.45"/>
    <row r="27" spans="1:12" ht="14.25" customHeight="1" x14ac:dyDescent="0.45">
      <c r="A27" s="2" t="s">
        <v>111</v>
      </c>
      <c r="B27" s="12">
        <f>SUMIF(E2:E104,"INR",F2:F104)</f>
        <v>3562870</v>
      </c>
    </row>
    <row r="28" spans="1:12" ht="14.25" customHeight="1" x14ac:dyDescent="0.45">
      <c r="A28" s="2" t="s">
        <v>112</v>
      </c>
      <c r="B28" s="12">
        <f>SUMIF(E2:E104,"INR",I2:I104)</f>
        <v>4203971</v>
      </c>
    </row>
    <row r="29" spans="1:12" ht="14.25" customHeight="1" x14ac:dyDescent="0.45">
      <c r="A29" s="2" t="s">
        <v>113</v>
      </c>
      <c r="B29" s="12">
        <f>SUMIF(E2:E104,"INR",G2:G104)</f>
        <v>475000</v>
      </c>
    </row>
    <row r="30" spans="1:12" ht="14.25" customHeight="1" x14ac:dyDescent="0.45">
      <c r="A30" s="2" t="s">
        <v>114</v>
      </c>
      <c r="B30" s="12">
        <f>SUMIF(E2:E104,"INR",H2:H104)</f>
        <v>3065848</v>
      </c>
      <c r="C30" s="2"/>
    </row>
    <row r="31" spans="1:12" ht="14.25" customHeight="1" x14ac:dyDescent="0.45">
      <c r="A31" s="2" t="s">
        <v>115</v>
      </c>
      <c r="B31" s="12">
        <f>SUMIF(E2:E104,"USD",F2:F104)</f>
        <v>109132.34000000001</v>
      </c>
      <c r="C31" s="15"/>
    </row>
    <row r="32" spans="1:12" ht="14.25" customHeight="1" x14ac:dyDescent="0.45">
      <c r="A32" s="2" t="s">
        <v>116</v>
      </c>
      <c r="B32" s="12">
        <f>SUMIF(E2:E104,"USD",I2:I104)</f>
        <v>122822.61749999999</v>
      </c>
      <c r="C32" s="15"/>
    </row>
    <row r="33" spans="1:3" ht="14.25" customHeight="1" x14ac:dyDescent="0.45">
      <c r="A33" s="2" t="s">
        <v>117</v>
      </c>
      <c r="B33" s="12">
        <f>SUMIF(E2:E104,"USD",H2:H104)</f>
        <v>109233.76000000001</v>
      </c>
      <c r="C33" s="15"/>
    </row>
    <row r="34" spans="1:3" ht="14.25" customHeight="1" x14ac:dyDescent="0.45">
      <c r="A34" s="2" t="s">
        <v>118</v>
      </c>
      <c r="B34" s="21">
        <f>MIN(D2:D104)</f>
        <v>46292</v>
      </c>
    </row>
    <row r="35" spans="1:3" ht="14.25" customHeight="1" x14ac:dyDescent="0.45"/>
    <row r="36" spans="1:3" ht="14.25" customHeight="1" x14ac:dyDescent="0.45"/>
    <row r="37" spans="1:3" ht="14.25" customHeight="1" x14ac:dyDescent="0.45"/>
    <row r="38" spans="1:3" ht="14.25" customHeight="1" x14ac:dyDescent="0.45"/>
    <row r="39" spans="1:3" ht="14.25" customHeight="1" x14ac:dyDescent="0.45"/>
    <row r="40" spans="1:3" ht="14.25" customHeight="1" x14ac:dyDescent="0.45"/>
    <row r="41" spans="1:3" ht="14.25" customHeight="1" x14ac:dyDescent="0.45"/>
    <row r="42" spans="1:3" ht="14.25" customHeight="1" x14ac:dyDescent="0.45"/>
    <row r="43" spans="1:3" ht="14.25" customHeight="1" x14ac:dyDescent="0.45"/>
    <row r="44" spans="1:3" ht="14.25" customHeight="1" x14ac:dyDescent="0.45"/>
    <row r="45" spans="1:3" ht="14.25" customHeight="1" x14ac:dyDescent="0.45"/>
    <row r="46" spans="1:3" ht="14.25" customHeight="1" x14ac:dyDescent="0.45"/>
    <row r="47" spans="1:3" ht="14.25" customHeight="1" x14ac:dyDescent="0.45"/>
    <row r="48" spans="1:3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  <row r="1002" ht="14.25" customHeight="1" x14ac:dyDescent="0.45"/>
    <row r="1003" ht="14.25" customHeight="1" x14ac:dyDescent="0.45"/>
    <row r="1004" ht="14.25" customHeight="1" x14ac:dyDescent="0.45"/>
  </sheetData>
  <autoFilter ref="A1:L25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87"/>
  <sheetViews>
    <sheetView zoomScaleNormal="100" workbookViewId="0">
      <pane ySplit="1" topLeftCell="A11" activePane="bottomLeft" state="frozen"/>
      <selection pane="bottomLeft" activeCell="A36" sqref="A36"/>
    </sheetView>
  </sheetViews>
  <sheetFormatPr defaultColWidth="14.3984375" defaultRowHeight="15" customHeight="1" x14ac:dyDescent="0.45"/>
  <cols>
    <col min="1" max="1" width="17.53125" customWidth="1"/>
    <col min="2" max="2" width="4.265625" customWidth="1"/>
    <col min="3" max="3" width="48.33203125" customWidth="1"/>
    <col min="4" max="4" width="13.86328125" customWidth="1"/>
    <col min="5" max="5" width="13.73046875" customWidth="1"/>
    <col min="6" max="6" width="11.53125" bestFit="1" customWidth="1"/>
    <col min="7" max="7" width="13.53125" customWidth="1"/>
    <col min="8" max="8" width="16.3984375" customWidth="1"/>
    <col min="9" max="9" width="8.86328125" customWidth="1"/>
    <col min="10" max="20" width="8.73046875" customWidth="1"/>
  </cols>
  <sheetData>
    <row r="1" spans="1:9" ht="14.25" customHeight="1" x14ac:dyDescent="0.45">
      <c r="A1" s="2" t="s">
        <v>9</v>
      </c>
      <c r="B1" s="3" t="s">
        <v>13</v>
      </c>
      <c r="C1" s="2" t="s">
        <v>15</v>
      </c>
      <c r="D1" s="4" t="s">
        <v>17</v>
      </c>
      <c r="E1" s="2" t="s">
        <v>19</v>
      </c>
      <c r="F1" s="2" t="s">
        <v>22</v>
      </c>
      <c r="G1" s="2" t="s">
        <v>24</v>
      </c>
      <c r="H1" s="2" t="s">
        <v>23</v>
      </c>
      <c r="I1" s="2" t="s">
        <v>4</v>
      </c>
    </row>
    <row r="2" spans="1:9" ht="14.25" customHeight="1" x14ac:dyDescent="0.45">
      <c r="A2" s="2" t="s">
        <v>29</v>
      </c>
      <c r="B2" s="8"/>
      <c r="C2" s="2" t="s">
        <v>119</v>
      </c>
      <c r="D2" s="2" t="s">
        <v>120</v>
      </c>
      <c r="E2" s="2" t="s">
        <v>121</v>
      </c>
      <c r="F2" s="12">
        <v>584.25099999999998</v>
      </c>
      <c r="G2" s="12">
        <v>171.15</v>
      </c>
      <c r="H2" s="12">
        <f t="shared" ref="H2:H9" si="0">G2*F2</f>
        <v>99994.558650000006</v>
      </c>
      <c r="I2" s="2" t="s">
        <v>32</v>
      </c>
    </row>
    <row r="3" spans="1:9" ht="14.25" customHeight="1" x14ac:dyDescent="0.45">
      <c r="A3" s="2" t="s">
        <v>29</v>
      </c>
      <c r="B3" s="8"/>
      <c r="C3" s="2" t="s">
        <v>122</v>
      </c>
      <c r="D3" s="2" t="s">
        <v>123</v>
      </c>
      <c r="E3" s="2" t="s">
        <v>124</v>
      </c>
      <c r="F3" s="12">
        <v>195.88300000000001</v>
      </c>
      <c r="G3" s="12">
        <v>50.89</v>
      </c>
      <c r="H3" s="12">
        <f t="shared" si="0"/>
        <v>9968.4858700000004</v>
      </c>
      <c r="I3" s="2" t="s">
        <v>32</v>
      </c>
    </row>
    <row r="4" spans="1:9" ht="14.25" customHeight="1" x14ac:dyDescent="0.45">
      <c r="A4" s="2" t="s">
        <v>29</v>
      </c>
      <c r="B4" s="8"/>
      <c r="C4" s="2" t="s">
        <v>125</v>
      </c>
      <c r="D4" s="2" t="s">
        <v>126</v>
      </c>
      <c r="E4" s="2" t="s">
        <v>127</v>
      </c>
      <c r="F4" s="12">
        <v>2057.4090000000001</v>
      </c>
      <c r="G4" s="12">
        <v>49.19</v>
      </c>
      <c r="H4" s="12">
        <f t="shared" si="0"/>
        <v>101203.94871</v>
      </c>
      <c r="I4" s="2" t="s">
        <v>32</v>
      </c>
    </row>
    <row r="5" spans="1:9" ht="14.25" customHeight="1" x14ac:dyDescent="0.45">
      <c r="A5" s="2" t="s">
        <v>29</v>
      </c>
      <c r="B5" s="8"/>
      <c r="C5" s="2" t="s">
        <v>128</v>
      </c>
      <c r="D5" s="2" t="s">
        <v>129</v>
      </c>
      <c r="E5" s="2" t="s">
        <v>130</v>
      </c>
      <c r="F5" s="12">
        <v>425.07400000000001</v>
      </c>
      <c r="G5" s="12">
        <v>61.16</v>
      </c>
      <c r="H5" s="12">
        <f t="shared" si="0"/>
        <v>25997.525839999998</v>
      </c>
      <c r="I5" s="2" t="s">
        <v>32</v>
      </c>
    </row>
    <row r="6" spans="1:9" ht="14.25" customHeight="1" x14ac:dyDescent="0.45">
      <c r="A6" s="2" t="s">
        <v>29</v>
      </c>
      <c r="B6" s="8"/>
      <c r="C6" s="2" t="s">
        <v>131</v>
      </c>
      <c r="D6" s="2" t="s">
        <v>132</v>
      </c>
      <c r="E6" s="2" t="s">
        <v>133</v>
      </c>
      <c r="F6" s="12">
        <v>319.24400000000003</v>
      </c>
      <c r="G6" s="12">
        <v>156.62</v>
      </c>
      <c r="H6" s="12">
        <f t="shared" si="0"/>
        <v>49999.995280000003</v>
      </c>
      <c r="I6" s="2" t="s">
        <v>32</v>
      </c>
    </row>
    <row r="7" spans="1:9" ht="14.25" customHeight="1" x14ac:dyDescent="0.45">
      <c r="A7" s="2" t="s">
        <v>29</v>
      </c>
      <c r="B7" s="8"/>
      <c r="C7" s="2" t="s">
        <v>134</v>
      </c>
      <c r="D7" s="2" t="s">
        <v>135</v>
      </c>
      <c r="E7" s="2" t="s">
        <v>136</v>
      </c>
      <c r="F7" s="12">
        <v>1434.932</v>
      </c>
      <c r="G7" s="12">
        <v>33.229999999999997</v>
      </c>
      <c r="H7" s="12">
        <f t="shared" si="0"/>
        <v>47682.790359999999</v>
      </c>
      <c r="I7" s="2" t="s">
        <v>32</v>
      </c>
    </row>
    <row r="8" spans="1:9" ht="14.25" customHeight="1" x14ac:dyDescent="0.45">
      <c r="A8" s="2" t="s">
        <v>29</v>
      </c>
      <c r="B8" s="8"/>
      <c r="C8" s="2" t="s">
        <v>137</v>
      </c>
      <c r="D8" s="2" t="s">
        <v>138</v>
      </c>
      <c r="E8" s="2" t="s">
        <v>133</v>
      </c>
      <c r="F8" s="12">
        <v>243.03200000000001</v>
      </c>
      <c r="G8" s="12">
        <v>205.73</v>
      </c>
      <c r="H8" s="12">
        <f t="shared" si="0"/>
        <v>49998.973359999996</v>
      </c>
      <c r="I8" s="2" t="s">
        <v>32</v>
      </c>
    </row>
    <row r="9" spans="1:9" ht="14.25" customHeight="1" x14ac:dyDescent="0.45">
      <c r="A9" s="2" t="s">
        <v>29</v>
      </c>
      <c r="B9" s="8"/>
      <c r="C9" s="2" t="s">
        <v>139</v>
      </c>
      <c r="D9" s="2" t="s">
        <v>140</v>
      </c>
      <c r="E9" s="2" t="s">
        <v>133</v>
      </c>
      <c r="F9" s="12">
        <v>106.32299999999999</v>
      </c>
      <c r="G9" s="12">
        <v>470.27</v>
      </c>
      <c r="H9" s="12">
        <f t="shared" si="0"/>
        <v>50000.517209999998</v>
      </c>
      <c r="I9" s="2" t="s">
        <v>32</v>
      </c>
    </row>
    <row r="10" spans="1:9" ht="14.25" customHeight="1" x14ac:dyDescent="0.45">
      <c r="A10" s="2" t="s">
        <v>29</v>
      </c>
      <c r="B10" s="3"/>
      <c r="C10" t="s">
        <v>149</v>
      </c>
      <c r="D10" s="24" t="s">
        <v>151</v>
      </c>
      <c r="E10" s="24" t="s">
        <v>150</v>
      </c>
      <c r="F10" s="25">
        <v>2306.7750000000001</v>
      </c>
      <c r="G10" s="25">
        <v>45.52</v>
      </c>
      <c r="H10" s="25">
        <f t="shared" ref="H10" si="1">G10*F10</f>
        <v>105004.39800000002</v>
      </c>
      <c r="I10" s="2" t="s">
        <v>32</v>
      </c>
    </row>
    <row r="11" spans="1:9" ht="14.25" customHeight="1" x14ac:dyDescent="0.45">
      <c r="A11" s="2" t="s">
        <v>60</v>
      </c>
      <c r="B11" s="3"/>
      <c r="C11" t="s">
        <v>153</v>
      </c>
      <c r="D11" t="s">
        <v>143</v>
      </c>
      <c r="E11" s="26" t="s">
        <v>159</v>
      </c>
      <c r="F11" s="29">
        <v>16331.145</v>
      </c>
      <c r="G11">
        <v>28.49</v>
      </c>
      <c r="H11" s="25">
        <f t="shared" ref="H11:H16" si="2">G11*F11</f>
        <v>465274.32104999997</v>
      </c>
      <c r="I11" s="2" t="s">
        <v>32</v>
      </c>
    </row>
    <row r="12" spans="1:9" ht="14.25" customHeight="1" x14ac:dyDescent="0.45">
      <c r="A12" s="2" t="s">
        <v>60</v>
      </c>
      <c r="B12" s="3"/>
      <c r="C12" t="s">
        <v>154</v>
      </c>
      <c r="D12" t="s">
        <v>144</v>
      </c>
      <c r="E12" s="26" t="s">
        <v>159</v>
      </c>
      <c r="F12" s="29">
        <v>4392.4650000000001</v>
      </c>
      <c r="G12">
        <v>127.32</v>
      </c>
      <c r="H12" s="25">
        <f t="shared" si="2"/>
        <v>559248.64379999996</v>
      </c>
      <c r="I12" s="2" t="s">
        <v>32</v>
      </c>
    </row>
    <row r="13" spans="1:9" ht="14.25" customHeight="1" x14ac:dyDescent="0.45">
      <c r="A13" s="2" t="s">
        <v>60</v>
      </c>
      <c r="B13" s="3"/>
      <c r="C13" t="s">
        <v>155</v>
      </c>
      <c r="D13" t="s">
        <v>68</v>
      </c>
      <c r="E13" s="26" t="s">
        <v>159</v>
      </c>
      <c r="F13" s="29">
        <v>180.34899999999999</v>
      </c>
      <c r="G13">
        <v>5544.53</v>
      </c>
      <c r="H13" s="25">
        <f t="shared" si="2"/>
        <v>999950.44096999988</v>
      </c>
      <c r="I13" s="2" t="s">
        <v>32</v>
      </c>
    </row>
    <row r="14" spans="1:9" ht="14.25" customHeight="1" x14ac:dyDescent="0.45">
      <c r="A14" s="2" t="s">
        <v>60</v>
      </c>
      <c r="B14" s="3"/>
      <c r="C14" t="s">
        <v>156</v>
      </c>
      <c r="D14" t="s">
        <v>145</v>
      </c>
      <c r="E14" s="26" t="s">
        <v>159</v>
      </c>
      <c r="F14" s="29">
        <v>1795.81</v>
      </c>
      <c r="G14">
        <v>219.5</v>
      </c>
      <c r="H14" s="25">
        <f t="shared" si="2"/>
        <v>394180.29499999998</v>
      </c>
      <c r="I14" s="2" t="s">
        <v>32</v>
      </c>
    </row>
    <row r="15" spans="1:9" ht="14.25" customHeight="1" x14ac:dyDescent="0.45">
      <c r="A15" s="2" t="s">
        <v>60</v>
      </c>
      <c r="B15" s="3"/>
      <c r="C15" t="s">
        <v>157</v>
      </c>
      <c r="D15" t="s">
        <v>146</v>
      </c>
      <c r="E15" s="26" t="s">
        <v>159</v>
      </c>
      <c r="F15" s="29">
        <v>11123.162</v>
      </c>
      <c r="G15">
        <v>36.44</v>
      </c>
      <c r="H15" s="25">
        <f t="shared" si="2"/>
        <v>405328.02327999996</v>
      </c>
      <c r="I15" s="2" t="s">
        <v>32</v>
      </c>
    </row>
    <row r="16" spans="1:9" ht="14.25" customHeight="1" x14ac:dyDescent="0.45">
      <c r="A16" s="2" t="s">
        <v>60</v>
      </c>
      <c r="B16" s="3"/>
      <c r="C16" t="s">
        <v>158</v>
      </c>
      <c r="D16" t="s">
        <v>31</v>
      </c>
      <c r="E16" s="26" t="s">
        <v>159</v>
      </c>
      <c r="F16" s="29">
        <v>5029.4620000000004</v>
      </c>
      <c r="G16">
        <v>90.38</v>
      </c>
      <c r="H16" s="25">
        <f t="shared" si="2"/>
        <v>454562.77556000004</v>
      </c>
      <c r="I16" s="2" t="s">
        <v>32</v>
      </c>
    </row>
    <row r="17" spans="1:9" ht="14.25" customHeight="1" x14ac:dyDescent="0.45">
      <c r="A17" s="2" t="s">
        <v>25</v>
      </c>
      <c r="B17" s="8"/>
      <c r="C17" s="2" t="s">
        <v>141</v>
      </c>
      <c r="D17" s="2" t="s">
        <v>142</v>
      </c>
      <c r="E17" s="26" t="s">
        <v>159</v>
      </c>
      <c r="F17">
        <v>161.322</v>
      </c>
      <c r="G17" s="25">
        <v>407.56</v>
      </c>
      <c r="H17" s="12">
        <f t="shared" ref="H17" si="3">G17*F17</f>
        <v>65748.394320000007</v>
      </c>
      <c r="I17" s="2" t="s">
        <v>32</v>
      </c>
    </row>
    <row r="18" spans="1:9" ht="14.25" customHeight="1" x14ac:dyDescent="0.45">
      <c r="A18" s="2" t="s">
        <v>25</v>
      </c>
      <c r="B18" s="3"/>
      <c r="C18" t="s">
        <v>160</v>
      </c>
      <c r="D18" t="s">
        <v>148</v>
      </c>
      <c r="E18" s="26" t="s">
        <v>159</v>
      </c>
      <c r="F18">
        <v>2161.085</v>
      </c>
      <c r="G18">
        <v>47.66</v>
      </c>
      <c r="H18" s="12">
        <f t="shared" ref="H18:H22" si="4">G18*F18</f>
        <v>102997.31109999999</v>
      </c>
      <c r="I18" s="2" t="s">
        <v>32</v>
      </c>
    </row>
    <row r="19" spans="1:9" ht="14.25" customHeight="1" x14ac:dyDescent="0.45">
      <c r="A19" s="2" t="s">
        <v>25</v>
      </c>
      <c r="B19" s="8"/>
      <c r="C19" t="s">
        <v>35</v>
      </c>
      <c r="D19" t="s">
        <v>36</v>
      </c>
      <c r="E19" s="26" t="s">
        <v>159</v>
      </c>
      <c r="F19">
        <v>1055.5830000000001</v>
      </c>
      <c r="G19">
        <v>210.77</v>
      </c>
      <c r="H19" s="12">
        <f t="shared" si="4"/>
        <v>222485.22891000003</v>
      </c>
      <c r="I19" s="2" t="s">
        <v>32</v>
      </c>
    </row>
    <row r="20" spans="1:9" ht="14.25" customHeight="1" x14ac:dyDescent="0.45">
      <c r="A20" s="2" t="s">
        <v>25</v>
      </c>
      <c r="B20" s="8"/>
      <c r="C20" t="s">
        <v>41</v>
      </c>
      <c r="D20" t="s">
        <v>42</v>
      </c>
      <c r="E20" s="26" t="s">
        <v>159</v>
      </c>
      <c r="F20">
        <v>3469.0880000000002</v>
      </c>
      <c r="G20">
        <v>44.53</v>
      </c>
      <c r="H20" s="12">
        <f t="shared" si="4"/>
        <v>154478.48864000003</v>
      </c>
      <c r="I20" s="2" t="s">
        <v>32</v>
      </c>
    </row>
    <row r="21" spans="1:9" ht="14.25" customHeight="1" x14ac:dyDescent="0.45">
      <c r="A21" s="2" t="s">
        <v>25</v>
      </c>
      <c r="B21" s="8"/>
      <c r="C21" s="2" t="s">
        <v>30</v>
      </c>
      <c r="D21" s="2" t="s">
        <v>31</v>
      </c>
      <c r="E21" s="26" t="s">
        <v>159</v>
      </c>
      <c r="F21">
        <v>2647.4430000000002</v>
      </c>
      <c r="G21">
        <v>88.76</v>
      </c>
      <c r="H21" s="12">
        <f t="shared" si="4"/>
        <v>234987.04068000003</v>
      </c>
      <c r="I21" s="2" t="s">
        <v>32</v>
      </c>
    </row>
    <row r="22" spans="1:9" ht="14.25" customHeight="1" x14ac:dyDescent="0.45">
      <c r="A22" s="2" t="s">
        <v>25</v>
      </c>
      <c r="B22" s="8"/>
      <c r="C22" t="s">
        <v>73</v>
      </c>
      <c r="D22" t="s">
        <v>74</v>
      </c>
      <c r="E22" s="26" t="s">
        <v>159</v>
      </c>
      <c r="F22">
        <v>5.2240000000000002</v>
      </c>
      <c r="G22">
        <v>1542.55</v>
      </c>
      <c r="H22" s="12">
        <f t="shared" si="4"/>
        <v>8058.2812000000004</v>
      </c>
      <c r="I22" s="2" t="s">
        <v>32</v>
      </c>
    </row>
    <row r="23" spans="1:9" ht="14.25" customHeight="1" x14ac:dyDescent="0.45">
      <c r="A23" s="2" t="s">
        <v>25</v>
      </c>
      <c r="B23" s="8"/>
      <c r="C23" t="s">
        <v>47</v>
      </c>
      <c r="D23" t="s">
        <v>49</v>
      </c>
      <c r="E23" s="26" t="s">
        <v>159</v>
      </c>
      <c r="F23">
        <v>6597.0010000000002</v>
      </c>
      <c r="G23">
        <v>24.4</v>
      </c>
      <c r="H23" s="12">
        <f t="shared" ref="H23" si="5">G23*F23</f>
        <v>160966.82439999998</v>
      </c>
      <c r="I23" s="2" t="s">
        <v>32</v>
      </c>
    </row>
    <row r="24" spans="1:9" ht="14.25" customHeight="1" x14ac:dyDescent="0.45">
      <c r="A24" s="2" t="s">
        <v>60</v>
      </c>
      <c r="B24" s="3"/>
      <c r="C24" t="s">
        <v>155</v>
      </c>
      <c r="D24" t="s">
        <v>68</v>
      </c>
      <c r="E24" s="26" t="s">
        <v>159</v>
      </c>
      <c r="F24">
        <f>H24/G24</f>
        <v>337.82629005524365</v>
      </c>
      <c r="G24">
        <v>5544.53</v>
      </c>
      <c r="H24" s="27">
        <v>1873088</v>
      </c>
      <c r="I24" s="2" t="s">
        <v>32</v>
      </c>
    </row>
    <row r="25" spans="1:9" ht="14.25" customHeight="1" x14ac:dyDescent="0.45">
      <c r="A25" s="2" t="s">
        <v>60</v>
      </c>
      <c r="B25" s="3"/>
      <c r="C25" t="s">
        <v>155</v>
      </c>
      <c r="D25" t="s">
        <v>68</v>
      </c>
      <c r="E25" s="26" t="s">
        <v>159</v>
      </c>
      <c r="F25">
        <f>H25/G25</f>
        <v>81.762205272583969</v>
      </c>
      <c r="G25">
        <v>5544.53</v>
      </c>
      <c r="H25" s="27">
        <v>453333</v>
      </c>
      <c r="I25" s="2" t="s">
        <v>32</v>
      </c>
    </row>
    <row r="26" spans="1:9" ht="14.25" customHeight="1" x14ac:dyDescent="0.45">
      <c r="A26" s="2" t="s">
        <v>60</v>
      </c>
      <c r="B26" s="3"/>
      <c r="C26" t="s">
        <v>155</v>
      </c>
      <c r="D26" t="s">
        <v>68</v>
      </c>
      <c r="E26" s="26" t="s">
        <v>159</v>
      </c>
      <c r="F26">
        <f>H26/G26</f>
        <v>13.325773329750222</v>
      </c>
      <c r="G26">
        <v>5544.53</v>
      </c>
      <c r="H26" s="25">
        <v>73885.149999999994</v>
      </c>
      <c r="I26" s="2" t="s">
        <v>32</v>
      </c>
    </row>
    <row r="27" spans="1:9" ht="14.25" customHeight="1" x14ac:dyDescent="0.45">
      <c r="B27" s="3"/>
    </row>
    <row r="28" spans="1:9" ht="14.25" customHeight="1" x14ac:dyDescent="0.45">
      <c r="B28" s="3"/>
    </row>
    <row r="29" spans="1:9" ht="14.25" customHeight="1" x14ac:dyDescent="0.45">
      <c r="B29" s="3"/>
    </row>
    <row r="30" spans="1:9" ht="14.25" customHeight="1" x14ac:dyDescent="0.45">
      <c r="B30" s="3"/>
    </row>
    <row r="31" spans="1:9" ht="14.25" customHeight="1" x14ac:dyDescent="0.45">
      <c r="B31" s="3"/>
    </row>
    <row r="32" spans="1:9" ht="14.25" customHeight="1" x14ac:dyDescent="0.45">
      <c r="B32" s="3"/>
    </row>
    <row r="33" spans="2:2" ht="14.25" customHeight="1" x14ac:dyDescent="0.45">
      <c r="B33" s="3"/>
    </row>
    <row r="34" spans="2:2" ht="14.25" customHeight="1" x14ac:dyDescent="0.45">
      <c r="B34" s="3"/>
    </row>
    <row r="35" spans="2:2" ht="14.25" customHeight="1" x14ac:dyDescent="0.45">
      <c r="B35" s="3"/>
    </row>
    <row r="36" spans="2:2" ht="14.25" customHeight="1" x14ac:dyDescent="0.45">
      <c r="B36" s="3"/>
    </row>
    <row r="37" spans="2:2" ht="14.25" customHeight="1" x14ac:dyDescent="0.45">
      <c r="B37" s="3"/>
    </row>
    <row r="38" spans="2:2" ht="14.25" customHeight="1" x14ac:dyDescent="0.45">
      <c r="B38" s="3"/>
    </row>
    <row r="39" spans="2:2" ht="14.25" customHeight="1" x14ac:dyDescent="0.45">
      <c r="B39" s="3"/>
    </row>
    <row r="40" spans="2:2" ht="14.25" customHeight="1" x14ac:dyDescent="0.45">
      <c r="B40" s="3"/>
    </row>
    <row r="41" spans="2:2" ht="14.25" customHeight="1" x14ac:dyDescent="0.45">
      <c r="B41" s="3"/>
    </row>
    <row r="42" spans="2:2" ht="14.25" customHeight="1" x14ac:dyDescent="0.45">
      <c r="B42" s="3"/>
    </row>
    <row r="43" spans="2:2" ht="14.25" customHeight="1" x14ac:dyDescent="0.45">
      <c r="B43" s="3"/>
    </row>
    <row r="44" spans="2:2" ht="14.25" customHeight="1" x14ac:dyDescent="0.45">
      <c r="B44" s="3"/>
    </row>
    <row r="45" spans="2:2" ht="14.25" customHeight="1" x14ac:dyDescent="0.45">
      <c r="B45" s="3"/>
    </row>
    <row r="46" spans="2:2" ht="14.25" customHeight="1" x14ac:dyDescent="0.45">
      <c r="B46" s="3"/>
    </row>
    <row r="47" spans="2:2" ht="14.25" customHeight="1" x14ac:dyDescent="0.45">
      <c r="B47" s="3"/>
    </row>
    <row r="48" spans="2:2" ht="14.25" customHeight="1" x14ac:dyDescent="0.45">
      <c r="B48" s="3"/>
    </row>
    <row r="49" spans="2:2" ht="14.25" customHeight="1" x14ac:dyDescent="0.45">
      <c r="B49" s="3"/>
    </row>
    <row r="50" spans="2:2" ht="14.25" customHeight="1" x14ac:dyDescent="0.45">
      <c r="B50" s="3"/>
    </row>
    <row r="51" spans="2:2" ht="14.25" customHeight="1" x14ac:dyDescent="0.45">
      <c r="B51" s="3"/>
    </row>
    <row r="52" spans="2:2" ht="14.25" customHeight="1" x14ac:dyDescent="0.45">
      <c r="B52" s="3"/>
    </row>
    <row r="53" spans="2:2" ht="14.25" customHeight="1" x14ac:dyDescent="0.45">
      <c r="B53" s="3"/>
    </row>
    <row r="54" spans="2:2" ht="14.25" customHeight="1" x14ac:dyDescent="0.45">
      <c r="B54" s="3"/>
    </row>
    <row r="55" spans="2:2" ht="14.25" customHeight="1" x14ac:dyDescent="0.45">
      <c r="B55" s="3"/>
    </row>
    <row r="56" spans="2:2" ht="14.25" customHeight="1" x14ac:dyDescent="0.45">
      <c r="B56" s="3"/>
    </row>
    <row r="57" spans="2:2" ht="14.25" customHeight="1" x14ac:dyDescent="0.45">
      <c r="B57" s="3"/>
    </row>
    <row r="58" spans="2:2" ht="14.25" customHeight="1" x14ac:dyDescent="0.45">
      <c r="B58" s="3"/>
    </row>
    <row r="59" spans="2:2" ht="14.25" customHeight="1" x14ac:dyDescent="0.45">
      <c r="B59" s="3"/>
    </row>
    <row r="60" spans="2:2" ht="14.25" customHeight="1" x14ac:dyDescent="0.45">
      <c r="B60" s="3"/>
    </row>
    <row r="61" spans="2:2" ht="14.25" customHeight="1" x14ac:dyDescent="0.45">
      <c r="B61" s="3"/>
    </row>
    <row r="62" spans="2:2" ht="14.25" customHeight="1" x14ac:dyDescent="0.45">
      <c r="B62" s="3"/>
    </row>
    <row r="63" spans="2:2" ht="14.25" customHeight="1" x14ac:dyDescent="0.45">
      <c r="B63" s="3"/>
    </row>
    <row r="64" spans="2:2" ht="14.25" customHeight="1" x14ac:dyDescent="0.45">
      <c r="B64" s="3"/>
    </row>
    <row r="65" spans="2:2" ht="14.25" customHeight="1" x14ac:dyDescent="0.45">
      <c r="B65" s="3"/>
    </row>
    <row r="66" spans="2:2" ht="14.25" customHeight="1" x14ac:dyDescent="0.45">
      <c r="B66" s="3"/>
    </row>
    <row r="67" spans="2:2" ht="14.25" customHeight="1" x14ac:dyDescent="0.45">
      <c r="B67" s="3"/>
    </row>
    <row r="68" spans="2:2" ht="14.25" customHeight="1" x14ac:dyDescent="0.45">
      <c r="B68" s="3"/>
    </row>
    <row r="69" spans="2:2" ht="14.25" customHeight="1" x14ac:dyDescent="0.45">
      <c r="B69" s="3"/>
    </row>
    <row r="70" spans="2:2" ht="14.25" customHeight="1" x14ac:dyDescent="0.45">
      <c r="B70" s="3"/>
    </row>
    <row r="71" spans="2:2" ht="14.25" customHeight="1" x14ac:dyDescent="0.45">
      <c r="B71" s="3"/>
    </row>
    <row r="72" spans="2:2" ht="14.25" customHeight="1" x14ac:dyDescent="0.45">
      <c r="B72" s="3"/>
    </row>
    <row r="73" spans="2:2" ht="14.25" customHeight="1" x14ac:dyDescent="0.45">
      <c r="B73" s="3"/>
    </row>
    <row r="74" spans="2:2" ht="14.25" customHeight="1" x14ac:dyDescent="0.45">
      <c r="B74" s="3"/>
    </row>
    <row r="75" spans="2:2" ht="14.25" customHeight="1" x14ac:dyDescent="0.45">
      <c r="B75" s="3"/>
    </row>
    <row r="76" spans="2:2" ht="14.25" customHeight="1" x14ac:dyDescent="0.45">
      <c r="B76" s="3"/>
    </row>
    <row r="77" spans="2:2" ht="14.25" customHeight="1" x14ac:dyDescent="0.45">
      <c r="B77" s="3"/>
    </row>
    <row r="78" spans="2:2" ht="14.25" customHeight="1" x14ac:dyDescent="0.45">
      <c r="B78" s="3"/>
    </row>
    <row r="79" spans="2:2" ht="14.25" customHeight="1" x14ac:dyDescent="0.45">
      <c r="B79" s="3"/>
    </row>
    <row r="80" spans="2:2" ht="14.25" customHeight="1" x14ac:dyDescent="0.45">
      <c r="B80" s="3"/>
    </row>
    <row r="81" spans="2:2" ht="14.25" customHeight="1" x14ac:dyDescent="0.45">
      <c r="B81" s="3"/>
    </row>
    <row r="82" spans="2:2" ht="14.25" customHeight="1" x14ac:dyDescent="0.45">
      <c r="B82" s="3"/>
    </row>
    <row r="83" spans="2:2" ht="14.25" customHeight="1" x14ac:dyDescent="0.45">
      <c r="B83" s="3"/>
    </row>
    <row r="84" spans="2:2" ht="14.25" customHeight="1" x14ac:dyDescent="0.45">
      <c r="B84" s="3"/>
    </row>
    <row r="85" spans="2:2" ht="14.25" customHeight="1" x14ac:dyDescent="0.45">
      <c r="B85" s="3"/>
    </row>
    <row r="86" spans="2:2" ht="14.25" customHeight="1" x14ac:dyDescent="0.45">
      <c r="B86" s="3"/>
    </row>
    <row r="87" spans="2:2" ht="14.25" customHeight="1" x14ac:dyDescent="0.45">
      <c r="B87" s="3"/>
    </row>
    <row r="88" spans="2:2" ht="14.25" customHeight="1" x14ac:dyDescent="0.45">
      <c r="B88" s="3"/>
    </row>
    <row r="89" spans="2:2" ht="14.25" customHeight="1" x14ac:dyDescent="0.45">
      <c r="B89" s="3"/>
    </row>
    <row r="90" spans="2:2" ht="14.25" customHeight="1" x14ac:dyDescent="0.45">
      <c r="B90" s="3"/>
    </row>
    <row r="91" spans="2:2" ht="14.25" customHeight="1" x14ac:dyDescent="0.45">
      <c r="B91" s="3"/>
    </row>
    <row r="92" spans="2:2" ht="14.25" customHeight="1" x14ac:dyDescent="0.45">
      <c r="B92" s="3"/>
    </row>
    <row r="93" spans="2:2" ht="14.25" customHeight="1" x14ac:dyDescent="0.45">
      <c r="B93" s="3"/>
    </row>
    <row r="94" spans="2:2" ht="14.25" customHeight="1" x14ac:dyDescent="0.45">
      <c r="B94" s="3"/>
    </row>
    <row r="95" spans="2:2" ht="14.25" customHeight="1" x14ac:dyDescent="0.45">
      <c r="B95" s="3"/>
    </row>
    <row r="96" spans="2:2" ht="14.25" customHeight="1" x14ac:dyDescent="0.45">
      <c r="B96" s="3"/>
    </row>
    <row r="97" spans="2:2" ht="14.25" customHeight="1" x14ac:dyDescent="0.45">
      <c r="B97" s="3"/>
    </row>
    <row r="98" spans="2:2" ht="14.25" customHeight="1" x14ac:dyDescent="0.45">
      <c r="B98" s="3"/>
    </row>
    <row r="99" spans="2:2" ht="14.25" customHeight="1" x14ac:dyDescent="0.45">
      <c r="B99" s="3"/>
    </row>
    <row r="100" spans="2:2" ht="14.25" customHeight="1" x14ac:dyDescent="0.45">
      <c r="B100" s="3"/>
    </row>
    <row r="101" spans="2:2" ht="14.25" customHeight="1" x14ac:dyDescent="0.45">
      <c r="B101" s="3"/>
    </row>
    <row r="102" spans="2:2" ht="14.25" customHeight="1" x14ac:dyDescent="0.45">
      <c r="B102" s="3"/>
    </row>
    <row r="103" spans="2:2" ht="14.25" customHeight="1" x14ac:dyDescent="0.45">
      <c r="B103" s="3"/>
    </row>
    <row r="104" spans="2:2" ht="14.25" customHeight="1" x14ac:dyDescent="0.45">
      <c r="B104" s="3"/>
    </row>
    <row r="105" spans="2:2" ht="14.25" customHeight="1" x14ac:dyDescent="0.45">
      <c r="B105" s="3"/>
    </row>
    <row r="106" spans="2:2" ht="14.25" customHeight="1" x14ac:dyDescent="0.45">
      <c r="B106" s="3"/>
    </row>
    <row r="107" spans="2:2" ht="14.25" customHeight="1" x14ac:dyDescent="0.45">
      <c r="B107" s="3"/>
    </row>
    <row r="108" spans="2:2" ht="14.25" customHeight="1" x14ac:dyDescent="0.45">
      <c r="B108" s="3"/>
    </row>
    <row r="109" spans="2:2" ht="14.25" customHeight="1" x14ac:dyDescent="0.45">
      <c r="B109" s="3"/>
    </row>
    <row r="110" spans="2:2" ht="14.25" customHeight="1" x14ac:dyDescent="0.45">
      <c r="B110" s="3"/>
    </row>
    <row r="111" spans="2:2" ht="14.25" customHeight="1" x14ac:dyDescent="0.45">
      <c r="B111" s="3"/>
    </row>
    <row r="112" spans="2:2" ht="14.25" customHeight="1" x14ac:dyDescent="0.45">
      <c r="B112" s="3"/>
    </row>
    <row r="113" spans="2:2" ht="14.25" customHeight="1" x14ac:dyDescent="0.45">
      <c r="B113" s="3"/>
    </row>
    <row r="114" spans="2:2" ht="14.25" customHeight="1" x14ac:dyDescent="0.45">
      <c r="B114" s="3"/>
    </row>
    <row r="115" spans="2:2" ht="14.25" customHeight="1" x14ac:dyDescent="0.45">
      <c r="B115" s="3"/>
    </row>
    <row r="116" spans="2:2" ht="14.25" customHeight="1" x14ac:dyDescent="0.45">
      <c r="B116" s="3"/>
    </row>
    <row r="117" spans="2:2" ht="14.25" customHeight="1" x14ac:dyDescent="0.45">
      <c r="B117" s="3"/>
    </row>
    <row r="118" spans="2:2" ht="14.25" customHeight="1" x14ac:dyDescent="0.45">
      <c r="B118" s="3"/>
    </row>
    <row r="119" spans="2:2" ht="14.25" customHeight="1" x14ac:dyDescent="0.45">
      <c r="B119" s="3"/>
    </row>
    <row r="120" spans="2:2" ht="14.25" customHeight="1" x14ac:dyDescent="0.45">
      <c r="B120" s="3"/>
    </row>
    <row r="121" spans="2:2" ht="14.25" customHeight="1" x14ac:dyDescent="0.45">
      <c r="B121" s="3"/>
    </row>
    <row r="122" spans="2:2" ht="14.25" customHeight="1" x14ac:dyDescent="0.45">
      <c r="B122" s="3"/>
    </row>
    <row r="123" spans="2:2" ht="14.25" customHeight="1" x14ac:dyDescent="0.45">
      <c r="B123" s="3"/>
    </row>
    <row r="124" spans="2:2" ht="14.25" customHeight="1" x14ac:dyDescent="0.45">
      <c r="B124" s="3"/>
    </row>
    <row r="125" spans="2:2" ht="14.25" customHeight="1" x14ac:dyDescent="0.45">
      <c r="B125" s="3"/>
    </row>
    <row r="126" spans="2:2" ht="14.25" customHeight="1" x14ac:dyDescent="0.45">
      <c r="B126" s="3"/>
    </row>
    <row r="127" spans="2:2" ht="14.25" customHeight="1" x14ac:dyDescent="0.45">
      <c r="B127" s="3"/>
    </row>
    <row r="128" spans="2:2" ht="14.25" customHeight="1" x14ac:dyDescent="0.45">
      <c r="B128" s="3"/>
    </row>
    <row r="129" spans="2:2" ht="14.25" customHeight="1" x14ac:dyDescent="0.45">
      <c r="B129" s="3"/>
    </row>
    <row r="130" spans="2:2" ht="14.25" customHeight="1" x14ac:dyDescent="0.45">
      <c r="B130" s="3"/>
    </row>
    <row r="131" spans="2:2" ht="14.25" customHeight="1" x14ac:dyDescent="0.45">
      <c r="B131" s="3"/>
    </row>
    <row r="132" spans="2:2" ht="14.25" customHeight="1" x14ac:dyDescent="0.45">
      <c r="B132" s="3"/>
    </row>
    <row r="133" spans="2:2" ht="14.25" customHeight="1" x14ac:dyDescent="0.45">
      <c r="B133" s="3"/>
    </row>
    <row r="134" spans="2:2" ht="14.25" customHeight="1" x14ac:dyDescent="0.45">
      <c r="B134" s="3"/>
    </row>
    <row r="135" spans="2:2" ht="14.25" customHeight="1" x14ac:dyDescent="0.45">
      <c r="B135" s="3"/>
    </row>
    <row r="136" spans="2:2" ht="14.25" customHeight="1" x14ac:dyDescent="0.45">
      <c r="B136" s="3"/>
    </row>
    <row r="137" spans="2:2" ht="14.25" customHeight="1" x14ac:dyDescent="0.45">
      <c r="B137" s="3"/>
    </row>
    <row r="138" spans="2:2" ht="14.25" customHeight="1" x14ac:dyDescent="0.45">
      <c r="B138" s="3"/>
    </row>
    <row r="139" spans="2:2" ht="14.25" customHeight="1" x14ac:dyDescent="0.45">
      <c r="B139" s="3"/>
    </row>
    <row r="140" spans="2:2" ht="14.25" customHeight="1" x14ac:dyDescent="0.45">
      <c r="B140" s="3"/>
    </row>
    <row r="141" spans="2:2" ht="14.25" customHeight="1" x14ac:dyDescent="0.45">
      <c r="B141" s="3"/>
    </row>
    <row r="142" spans="2:2" ht="14.25" customHeight="1" x14ac:dyDescent="0.45">
      <c r="B142" s="3"/>
    </row>
    <row r="143" spans="2:2" ht="14.25" customHeight="1" x14ac:dyDescent="0.45">
      <c r="B143" s="3"/>
    </row>
    <row r="144" spans="2:2" ht="14.25" customHeight="1" x14ac:dyDescent="0.45">
      <c r="B144" s="3"/>
    </row>
    <row r="145" spans="2:2" ht="14.25" customHeight="1" x14ac:dyDescent="0.45">
      <c r="B145" s="3"/>
    </row>
    <row r="146" spans="2:2" ht="14.25" customHeight="1" x14ac:dyDescent="0.45">
      <c r="B146" s="3"/>
    </row>
    <row r="147" spans="2:2" ht="14.25" customHeight="1" x14ac:dyDescent="0.45">
      <c r="B147" s="3"/>
    </row>
    <row r="148" spans="2:2" ht="14.25" customHeight="1" x14ac:dyDescent="0.45">
      <c r="B148" s="3"/>
    </row>
    <row r="149" spans="2:2" ht="14.25" customHeight="1" x14ac:dyDescent="0.45">
      <c r="B149" s="3"/>
    </row>
    <row r="150" spans="2:2" ht="14.25" customHeight="1" x14ac:dyDescent="0.45">
      <c r="B150" s="3"/>
    </row>
    <row r="151" spans="2:2" ht="14.25" customHeight="1" x14ac:dyDescent="0.45">
      <c r="B151" s="3"/>
    </row>
    <row r="152" spans="2:2" ht="14.25" customHeight="1" x14ac:dyDescent="0.45">
      <c r="B152" s="3"/>
    </row>
    <row r="153" spans="2:2" ht="14.25" customHeight="1" x14ac:dyDescent="0.45">
      <c r="B153" s="3"/>
    </row>
    <row r="154" spans="2:2" ht="14.25" customHeight="1" x14ac:dyDescent="0.45">
      <c r="B154" s="3"/>
    </row>
    <row r="155" spans="2:2" ht="14.25" customHeight="1" x14ac:dyDescent="0.45">
      <c r="B155" s="3"/>
    </row>
    <row r="156" spans="2:2" ht="14.25" customHeight="1" x14ac:dyDescent="0.45">
      <c r="B156" s="3"/>
    </row>
    <row r="157" spans="2:2" ht="14.25" customHeight="1" x14ac:dyDescent="0.45">
      <c r="B157" s="3"/>
    </row>
    <row r="158" spans="2:2" ht="14.25" customHeight="1" x14ac:dyDescent="0.45">
      <c r="B158" s="3"/>
    </row>
    <row r="159" spans="2:2" ht="14.25" customHeight="1" x14ac:dyDescent="0.45">
      <c r="B159" s="3"/>
    </row>
    <row r="160" spans="2:2" ht="14.25" customHeight="1" x14ac:dyDescent="0.45">
      <c r="B160" s="3"/>
    </row>
    <row r="161" spans="2:2" ht="14.25" customHeight="1" x14ac:dyDescent="0.45">
      <c r="B161" s="3"/>
    </row>
    <row r="162" spans="2:2" ht="14.25" customHeight="1" x14ac:dyDescent="0.45">
      <c r="B162" s="3"/>
    </row>
    <row r="163" spans="2:2" ht="14.25" customHeight="1" x14ac:dyDescent="0.45">
      <c r="B163" s="3"/>
    </row>
    <row r="164" spans="2:2" ht="14.25" customHeight="1" x14ac:dyDescent="0.45">
      <c r="B164" s="3"/>
    </row>
    <row r="165" spans="2:2" ht="14.25" customHeight="1" x14ac:dyDescent="0.45">
      <c r="B165" s="3"/>
    </row>
    <row r="166" spans="2:2" ht="14.25" customHeight="1" x14ac:dyDescent="0.45">
      <c r="B166" s="3"/>
    </row>
    <row r="167" spans="2:2" ht="14.25" customHeight="1" x14ac:dyDescent="0.45">
      <c r="B167" s="3"/>
    </row>
    <row r="168" spans="2:2" ht="14.25" customHeight="1" x14ac:dyDescent="0.45">
      <c r="B168" s="3"/>
    </row>
    <row r="169" spans="2:2" ht="14.25" customHeight="1" x14ac:dyDescent="0.45">
      <c r="B169" s="3"/>
    </row>
    <row r="170" spans="2:2" ht="14.25" customHeight="1" x14ac:dyDescent="0.45">
      <c r="B170" s="3"/>
    </row>
    <row r="171" spans="2:2" ht="14.25" customHeight="1" x14ac:dyDescent="0.45">
      <c r="B171" s="3"/>
    </row>
    <row r="172" spans="2:2" ht="14.25" customHeight="1" x14ac:dyDescent="0.45">
      <c r="B172" s="3"/>
    </row>
    <row r="173" spans="2:2" ht="14.25" customHeight="1" x14ac:dyDescent="0.45">
      <c r="B173" s="3"/>
    </row>
    <row r="174" spans="2:2" ht="14.25" customHeight="1" x14ac:dyDescent="0.45">
      <c r="B174" s="3"/>
    </row>
    <row r="175" spans="2:2" ht="14.25" customHeight="1" x14ac:dyDescent="0.45">
      <c r="B175" s="3"/>
    </row>
    <row r="176" spans="2:2" ht="14.25" customHeight="1" x14ac:dyDescent="0.45">
      <c r="B176" s="3"/>
    </row>
    <row r="177" spans="2:2" ht="14.25" customHeight="1" x14ac:dyDescent="0.45">
      <c r="B177" s="3"/>
    </row>
    <row r="178" spans="2:2" ht="14.25" customHeight="1" x14ac:dyDescent="0.45">
      <c r="B178" s="3"/>
    </row>
    <row r="179" spans="2:2" ht="14.25" customHeight="1" x14ac:dyDescent="0.45">
      <c r="B179" s="3"/>
    </row>
    <row r="180" spans="2:2" ht="14.25" customHeight="1" x14ac:dyDescent="0.45">
      <c r="B180" s="3"/>
    </row>
    <row r="181" spans="2:2" ht="14.25" customHeight="1" x14ac:dyDescent="0.45">
      <c r="B181" s="3"/>
    </row>
    <row r="182" spans="2:2" ht="14.25" customHeight="1" x14ac:dyDescent="0.45">
      <c r="B182" s="3"/>
    </row>
    <row r="183" spans="2:2" ht="14.25" customHeight="1" x14ac:dyDescent="0.45">
      <c r="B183" s="3"/>
    </row>
    <row r="184" spans="2:2" ht="14.25" customHeight="1" x14ac:dyDescent="0.45">
      <c r="B184" s="3"/>
    </row>
    <row r="185" spans="2:2" ht="14.25" customHeight="1" x14ac:dyDescent="0.45">
      <c r="B185" s="3"/>
    </row>
    <row r="186" spans="2:2" ht="14.25" customHeight="1" x14ac:dyDescent="0.45">
      <c r="B186" s="3"/>
    </row>
    <row r="187" spans="2:2" ht="14.25" customHeight="1" x14ac:dyDescent="0.45">
      <c r="B187" s="3"/>
    </row>
    <row r="188" spans="2:2" ht="14.25" customHeight="1" x14ac:dyDescent="0.45">
      <c r="B188" s="3"/>
    </row>
    <row r="189" spans="2:2" ht="14.25" customHeight="1" x14ac:dyDescent="0.45">
      <c r="B189" s="3"/>
    </row>
    <row r="190" spans="2:2" ht="14.25" customHeight="1" x14ac:dyDescent="0.45">
      <c r="B190" s="3"/>
    </row>
    <row r="191" spans="2:2" ht="14.25" customHeight="1" x14ac:dyDescent="0.45">
      <c r="B191" s="3"/>
    </row>
    <row r="192" spans="2:2" ht="14.25" customHeight="1" x14ac:dyDescent="0.45">
      <c r="B192" s="3"/>
    </row>
    <row r="193" spans="2:2" ht="14.25" customHeight="1" x14ac:dyDescent="0.45">
      <c r="B193" s="3"/>
    </row>
    <row r="194" spans="2:2" ht="14.25" customHeight="1" x14ac:dyDescent="0.45">
      <c r="B194" s="3"/>
    </row>
    <row r="195" spans="2:2" ht="14.25" customHeight="1" x14ac:dyDescent="0.45">
      <c r="B195" s="3"/>
    </row>
    <row r="196" spans="2:2" ht="14.25" customHeight="1" x14ac:dyDescent="0.45">
      <c r="B196" s="3"/>
    </row>
    <row r="197" spans="2:2" ht="14.25" customHeight="1" x14ac:dyDescent="0.45">
      <c r="B197" s="3"/>
    </row>
    <row r="198" spans="2:2" ht="14.25" customHeight="1" x14ac:dyDescent="0.45">
      <c r="B198" s="3"/>
    </row>
    <row r="199" spans="2:2" ht="14.25" customHeight="1" x14ac:dyDescent="0.45">
      <c r="B199" s="3"/>
    </row>
    <row r="200" spans="2:2" ht="14.25" customHeight="1" x14ac:dyDescent="0.45">
      <c r="B200" s="3"/>
    </row>
    <row r="201" spans="2:2" ht="14.25" customHeight="1" x14ac:dyDescent="0.45">
      <c r="B201" s="3"/>
    </row>
    <row r="202" spans="2:2" ht="14.25" customHeight="1" x14ac:dyDescent="0.45">
      <c r="B202" s="3"/>
    </row>
    <row r="203" spans="2:2" ht="14.25" customHeight="1" x14ac:dyDescent="0.45">
      <c r="B203" s="3"/>
    </row>
    <row r="204" spans="2:2" ht="14.25" customHeight="1" x14ac:dyDescent="0.45">
      <c r="B204" s="3"/>
    </row>
    <row r="205" spans="2:2" ht="14.25" customHeight="1" x14ac:dyDescent="0.45">
      <c r="B205" s="3"/>
    </row>
    <row r="206" spans="2:2" ht="14.25" customHeight="1" x14ac:dyDescent="0.45">
      <c r="B206" s="3"/>
    </row>
    <row r="207" spans="2:2" ht="14.25" customHeight="1" x14ac:dyDescent="0.45">
      <c r="B207" s="3"/>
    </row>
    <row r="208" spans="2:2" ht="14.25" customHeight="1" x14ac:dyDescent="0.45">
      <c r="B208" s="3"/>
    </row>
    <row r="209" spans="2:2" ht="14.25" customHeight="1" x14ac:dyDescent="0.45">
      <c r="B209" s="3"/>
    </row>
    <row r="210" spans="2:2" ht="14.25" customHeight="1" x14ac:dyDescent="0.45">
      <c r="B210" s="3"/>
    </row>
    <row r="211" spans="2:2" ht="14.25" customHeight="1" x14ac:dyDescent="0.45">
      <c r="B211" s="3"/>
    </row>
    <row r="212" spans="2:2" ht="14.25" customHeight="1" x14ac:dyDescent="0.45">
      <c r="B212" s="3"/>
    </row>
    <row r="213" spans="2:2" ht="14.25" customHeight="1" x14ac:dyDescent="0.45">
      <c r="B213" s="3"/>
    </row>
    <row r="214" spans="2:2" ht="14.25" customHeight="1" x14ac:dyDescent="0.45">
      <c r="B214" s="3"/>
    </row>
    <row r="215" spans="2:2" ht="14.25" customHeight="1" x14ac:dyDescent="0.45">
      <c r="B215" s="3"/>
    </row>
    <row r="216" spans="2:2" ht="14.25" customHeight="1" x14ac:dyDescent="0.45">
      <c r="B216" s="3"/>
    </row>
    <row r="217" spans="2:2" ht="14.25" customHeight="1" x14ac:dyDescent="0.45">
      <c r="B217" s="3"/>
    </row>
    <row r="218" spans="2:2" ht="14.25" customHeight="1" x14ac:dyDescent="0.45">
      <c r="B218" s="3"/>
    </row>
    <row r="219" spans="2:2" ht="14.25" customHeight="1" x14ac:dyDescent="0.45">
      <c r="B219" s="3"/>
    </row>
    <row r="220" spans="2:2" ht="14.25" customHeight="1" x14ac:dyDescent="0.45">
      <c r="B220" s="3"/>
    </row>
    <row r="221" spans="2:2" ht="14.25" customHeight="1" x14ac:dyDescent="0.45">
      <c r="B221" s="3"/>
    </row>
    <row r="222" spans="2:2" ht="14.25" customHeight="1" x14ac:dyDescent="0.45">
      <c r="B222" s="3"/>
    </row>
    <row r="223" spans="2:2" ht="14.25" customHeight="1" x14ac:dyDescent="0.45">
      <c r="B223" s="3"/>
    </row>
    <row r="224" spans="2:2" ht="14.25" customHeight="1" x14ac:dyDescent="0.45">
      <c r="B224" s="3"/>
    </row>
    <row r="225" spans="2:2" ht="14.25" customHeight="1" x14ac:dyDescent="0.45">
      <c r="B225" s="3"/>
    </row>
    <row r="226" spans="2:2" ht="14.25" customHeight="1" x14ac:dyDescent="0.45">
      <c r="B226" s="3"/>
    </row>
    <row r="227" spans="2:2" ht="14.25" customHeight="1" x14ac:dyDescent="0.45">
      <c r="B227" s="3"/>
    </row>
    <row r="228" spans="2:2" ht="14.25" customHeight="1" x14ac:dyDescent="0.45">
      <c r="B228" s="3"/>
    </row>
    <row r="229" spans="2:2" ht="14.25" customHeight="1" x14ac:dyDescent="0.45">
      <c r="B229" s="3"/>
    </row>
    <row r="230" spans="2:2" ht="14.25" customHeight="1" x14ac:dyDescent="0.45">
      <c r="B230" s="3"/>
    </row>
    <row r="231" spans="2:2" ht="14.25" customHeight="1" x14ac:dyDescent="0.45">
      <c r="B231" s="3"/>
    </row>
    <row r="232" spans="2:2" ht="14.25" customHeight="1" x14ac:dyDescent="0.45">
      <c r="B232" s="3"/>
    </row>
    <row r="233" spans="2:2" ht="14.25" customHeight="1" x14ac:dyDescent="0.45">
      <c r="B233" s="3"/>
    </row>
    <row r="234" spans="2:2" ht="14.25" customHeight="1" x14ac:dyDescent="0.45">
      <c r="B234" s="3"/>
    </row>
    <row r="235" spans="2:2" ht="14.25" customHeight="1" x14ac:dyDescent="0.45">
      <c r="B235" s="3"/>
    </row>
    <row r="236" spans="2:2" ht="14.25" customHeight="1" x14ac:dyDescent="0.45">
      <c r="B236" s="3"/>
    </row>
    <row r="237" spans="2:2" ht="14.25" customHeight="1" x14ac:dyDescent="0.45">
      <c r="B237" s="3"/>
    </row>
    <row r="238" spans="2:2" ht="14.25" customHeight="1" x14ac:dyDescent="0.45">
      <c r="B238" s="3"/>
    </row>
    <row r="239" spans="2:2" ht="14.25" customHeight="1" x14ac:dyDescent="0.45">
      <c r="B239" s="3"/>
    </row>
    <row r="240" spans="2:2" ht="14.25" customHeight="1" x14ac:dyDescent="0.45">
      <c r="B240" s="3"/>
    </row>
    <row r="241" spans="2:2" ht="14.25" customHeight="1" x14ac:dyDescent="0.45">
      <c r="B241" s="3"/>
    </row>
    <row r="242" spans="2:2" ht="14.25" customHeight="1" x14ac:dyDescent="0.45">
      <c r="B242" s="3"/>
    </row>
    <row r="243" spans="2:2" ht="14.25" customHeight="1" x14ac:dyDescent="0.45">
      <c r="B243" s="3"/>
    </row>
    <row r="244" spans="2:2" ht="14.25" customHeight="1" x14ac:dyDescent="0.45">
      <c r="B244" s="3"/>
    </row>
    <row r="245" spans="2:2" ht="14.25" customHeight="1" x14ac:dyDescent="0.45">
      <c r="B245" s="3"/>
    </row>
    <row r="246" spans="2:2" ht="14.25" customHeight="1" x14ac:dyDescent="0.45">
      <c r="B246" s="3"/>
    </row>
    <row r="247" spans="2:2" ht="14.25" customHeight="1" x14ac:dyDescent="0.45">
      <c r="B247" s="3"/>
    </row>
    <row r="248" spans="2:2" ht="14.25" customHeight="1" x14ac:dyDescent="0.45">
      <c r="B248" s="3"/>
    </row>
    <row r="249" spans="2:2" ht="14.25" customHeight="1" x14ac:dyDescent="0.45">
      <c r="B249" s="3"/>
    </row>
    <row r="250" spans="2:2" ht="14.25" customHeight="1" x14ac:dyDescent="0.45">
      <c r="B250" s="3"/>
    </row>
    <row r="251" spans="2:2" ht="14.25" customHeight="1" x14ac:dyDescent="0.45">
      <c r="B251" s="3"/>
    </row>
    <row r="252" spans="2:2" ht="14.25" customHeight="1" x14ac:dyDescent="0.45">
      <c r="B252" s="3"/>
    </row>
    <row r="253" spans="2:2" ht="14.25" customHeight="1" x14ac:dyDescent="0.45">
      <c r="B253" s="3"/>
    </row>
    <row r="254" spans="2:2" ht="14.25" customHeight="1" x14ac:dyDescent="0.45">
      <c r="B254" s="3"/>
    </row>
    <row r="255" spans="2:2" ht="14.25" customHeight="1" x14ac:dyDescent="0.45">
      <c r="B255" s="3"/>
    </row>
    <row r="256" spans="2:2" ht="14.25" customHeight="1" x14ac:dyDescent="0.45">
      <c r="B256" s="3"/>
    </row>
    <row r="257" spans="2:2" ht="14.25" customHeight="1" x14ac:dyDescent="0.45">
      <c r="B257" s="3"/>
    </row>
    <row r="258" spans="2:2" ht="14.25" customHeight="1" x14ac:dyDescent="0.45">
      <c r="B258" s="3"/>
    </row>
    <row r="259" spans="2:2" ht="14.25" customHeight="1" x14ac:dyDescent="0.45">
      <c r="B259" s="3"/>
    </row>
    <row r="260" spans="2:2" ht="14.25" customHeight="1" x14ac:dyDescent="0.45">
      <c r="B260" s="3"/>
    </row>
    <row r="261" spans="2:2" ht="14.25" customHeight="1" x14ac:dyDescent="0.45">
      <c r="B261" s="3"/>
    </row>
    <row r="262" spans="2:2" ht="14.25" customHeight="1" x14ac:dyDescent="0.45">
      <c r="B262" s="3"/>
    </row>
    <row r="263" spans="2:2" ht="14.25" customHeight="1" x14ac:dyDescent="0.45">
      <c r="B263" s="3"/>
    </row>
    <row r="264" spans="2:2" ht="14.25" customHeight="1" x14ac:dyDescent="0.45">
      <c r="B264" s="3"/>
    </row>
    <row r="265" spans="2:2" ht="14.25" customHeight="1" x14ac:dyDescent="0.45">
      <c r="B265" s="3"/>
    </row>
    <row r="266" spans="2:2" ht="14.25" customHeight="1" x14ac:dyDescent="0.45">
      <c r="B266" s="3"/>
    </row>
    <row r="267" spans="2:2" ht="14.25" customHeight="1" x14ac:dyDescent="0.45">
      <c r="B267" s="3"/>
    </row>
    <row r="268" spans="2:2" ht="14.25" customHeight="1" x14ac:dyDescent="0.45">
      <c r="B268" s="3"/>
    </row>
    <row r="269" spans="2:2" ht="14.25" customHeight="1" x14ac:dyDescent="0.45">
      <c r="B269" s="3"/>
    </row>
    <row r="270" spans="2:2" ht="14.25" customHeight="1" x14ac:dyDescent="0.45">
      <c r="B270" s="3"/>
    </row>
    <row r="271" spans="2:2" ht="14.25" customHeight="1" x14ac:dyDescent="0.45">
      <c r="B271" s="3"/>
    </row>
    <row r="272" spans="2:2" ht="14.25" customHeight="1" x14ac:dyDescent="0.45">
      <c r="B272" s="3"/>
    </row>
    <row r="273" spans="2:2" ht="14.25" customHeight="1" x14ac:dyDescent="0.45">
      <c r="B273" s="3"/>
    </row>
    <row r="274" spans="2:2" ht="14.25" customHeight="1" x14ac:dyDescent="0.45">
      <c r="B274" s="3"/>
    </row>
    <row r="275" spans="2:2" ht="14.25" customHeight="1" x14ac:dyDescent="0.45">
      <c r="B275" s="3"/>
    </row>
    <row r="276" spans="2:2" ht="14.25" customHeight="1" x14ac:dyDescent="0.45">
      <c r="B276" s="3"/>
    </row>
    <row r="277" spans="2:2" ht="14.25" customHeight="1" x14ac:dyDescent="0.45">
      <c r="B277" s="3"/>
    </row>
    <row r="278" spans="2:2" ht="14.25" customHeight="1" x14ac:dyDescent="0.45">
      <c r="B278" s="3"/>
    </row>
    <row r="279" spans="2:2" ht="14.25" customHeight="1" x14ac:dyDescent="0.45">
      <c r="B279" s="3"/>
    </row>
    <row r="280" spans="2:2" ht="14.25" customHeight="1" x14ac:dyDescent="0.45">
      <c r="B280" s="3"/>
    </row>
    <row r="281" spans="2:2" ht="14.25" customHeight="1" x14ac:dyDescent="0.45">
      <c r="B281" s="3"/>
    </row>
    <row r="282" spans="2:2" ht="14.25" customHeight="1" x14ac:dyDescent="0.45">
      <c r="B282" s="3"/>
    </row>
    <row r="283" spans="2:2" ht="14.25" customHeight="1" x14ac:dyDescent="0.45">
      <c r="B283" s="3"/>
    </row>
    <row r="284" spans="2:2" ht="14.25" customHeight="1" x14ac:dyDescent="0.45">
      <c r="B284" s="3"/>
    </row>
    <row r="285" spans="2:2" ht="14.25" customHeight="1" x14ac:dyDescent="0.45">
      <c r="B285" s="3"/>
    </row>
    <row r="286" spans="2:2" ht="14.25" customHeight="1" x14ac:dyDescent="0.45">
      <c r="B286" s="3"/>
    </row>
    <row r="287" spans="2:2" ht="14.25" customHeight="1" x14ac:dyDescent="0.45">
      <c r="B287" s="3"/>
    </row>
    <row r="288" spans="2:2" ht="14.25" customHeight="1" x14ac:dyDescent="0.45">
      <c r="B288" s="3"/>
    </row>
    <row r="289" spans="2:2" ht="14.25" customHeight="1" x14ac:dyDescent="0.45">
      <c r="B289" s="3"/>
    </row>
    <row r="290" spans="2:2" ht="14.25" customHeight="1" x14ac:dyDescent="0.45">
      <c r="B290" s="3"/>
    </row>
    <row r="291" spans="2:2" ht="14.25" customHeight="1" x14ac:dyDescent="0.45">
      <c r="B291" s="3"/>
    </row>
    <row r="292" spans="2:2" ht="14.25" customHeight="1" x14ac:dyDescent="0.45">
      <c r="B292" s="3"/>
    </row>
    <row r="293" spans="2:2" ht="14.25" customHeight="1" x14ac:dyDescent="0.45">
      <c r="B293" s="3"/>
    </row>
    <row r="294" spans="2:2" ht="14.25" customHeight="1" x14ac:dyDescent="0.45">
      <c r="B294" s="3"/>
    </row>
    <row r="295" spans="2:2" ht="14.25" customHeight="1" x14ac:dyDescent="0.45">
      <c r="B295" s="3"/>
    </row>
    <row r="296" spans="2:2" ht="14.25" customHeight="1" x14ac:dyDescent="0.45">
      <c r="B296" s="3"/>
    </row>
    <row r="297" spans="2:2" ht="14.25" customHeight="1" x14ac:dyDescent="0.45">
      <c r="B297" s="3"/>
    </row>
    <row r="298" spans="2:2" ht="14.25" customHeight="1" x14ac:dyDescent="0.45">
      <c r="B298" s="3"/>
    </row>
    <row r="299" spans="2:2" ht="14.25" customHeight="1" x14ac:dyDescent="0.45">
      <c r="B299" s="3"/>
    </row>
    <row r="300" spans="2:2" ht="14.25" customHeight="1" x14ac:dyDescent="0.45">
      <c r="B300" s="3"/>
    </row>
    <row r="301" spans="2:2" ht="14.25" customHeight="1" x14ac:dyDescent="0.45">
      <c r="B301" s="3"/>
    </row>
    <row r="302" spans="2:2" ht="14.25" customHeight="1" x14ac:dyDescent="0.45">
      <c r="B302" s="3"/>
    </row>
    <row r="303" spans="2:2" ht="14.25" customHeight="1" x14ac:dyDescent="0.45">
      <c r="B303" s="3"/>
    </row>
    <row r="304" spans="2:2" ht="14.25" customHeight="1" x14ac:dyDescent="0.45">
      <c r="B304" s="3"/>
    </row>
    <row r="305" spans="2:2" ht="14.25" customHeight="1" x14ac:dyDescent="0.45">
      <c r="B305" s="3"/>
    </row>
    <row r="306" spans="2:2" ht="14.25" customHeight="1" x14ac:dyDescent="0.45">
      <c r="B306" s="3"/>
    </row>
    <row r="307" spans="2:2" ht="14.25" customHeight="1" x14ac:dyDescent="0.45">
      <c r="B307" s="3"/>
    </row>
    <row r="308" spans="2:2" ht="14.25" customHeight="1" x14ac:dyDescent="0.45">
      <c r="B308" s="3"/>
    </row>
    <row r="309" spans="2:2" ht="14.25" customHeight="1" x14ac:dyDescent="0.45">
      <c r="B309" s="3"/>
    </row>
    <row r="310" spans="2:2" ht="14.25" customHeight="1" x14ac:dyDescent="0.45">
      <c r="B310" s="3"/>
    </row>
    <row r="311" spans="2:2" ht="14.25" customHeight="1" x14ac:dyDescent="0.45">
      <c r="B311" s="3"/>
    </row>
    <row r="312" spans="2:2" ht="14.25" customHeight="1" x14ac:dyDescent="0.45">
      <c r="B312" s="3"/>
    </row>
    <row r="313" spans="2:2" ht="14.25" customHeight="1" x14ac:dyDescent="0.45">
      <c r="B313" s="3"/>
    </row>
    <row r="314" spans="2:2" ht="14.25" customHeight="1" x14ac:dyDescent="0.45">
      <c r="B314" s="3"/>
    </row>
    <row r="315" spans="2:2" ht="14.25" customHeight="1" x14ac:dyDescent="0.45">
      <c r="B315" s="3"/>
    </row>
    <row r="316" spans="2:2" ht="14.25" customHeight="1" x14ac:dyDescent="0.45">
      <c r="B316" s="3"/>
    </row>
    <row r="317" spans="2:2" ht="14.25" customHeight="1" x14ac:dyDescent="0.45">
      <c r="B317" s="3"/>
    </row>
    <row r="318" spans="2:2" ht="14.25" customHeight="1" x14ac:dyDescent="0.45">
      <c r="B318" s="3"/>
    </row>
    <row r="319" spans="2:2" ht="14.25" customHeight="1" x14ac:dyDescent="0.45">
      <c r="B319" s="3"/>
    </row>
    <row r="320" spans="2:2" ht="14.25" customHeight="1" x14ac:dyDescent="0.45">
      <c r="B320" s="3"/>
    </row>
    <row r="321" spans="2:2" ht="14.25" customHeight="1" x14ac:dyDescent="0.45">
      <c r="B321" s="3"/>
    </row>
    <row r="322" spans="2:2" ht="14.25" customHeight="1" x14ac:dyDescent="0.45">
      <c r="B322" s="3"/>
    </row>
    <row r="323" spans="2:2" ht="14.25" customHeight="1" x14ac:dyDescent="0.45">
      <c r="B323" s="3"/>
    </row>
    <row r="324" spans="2:2" ht="14.25" customHeight="1" x14ac:dyDescent="0.45">
      <c r="B324" s="3"/>
    </row>
    <row r="325" spans="2:2" ht="14.25" customHeight="1" x14ac:dyDescent="0.45">
      <c r="B325" s="3"/>
    </row>
    <row r="326" spans="2:2" ht="14.25" customHeight="1" x14ac:dyDescent="0.45">
      <c r="B326" s="3"/>
    </row>
    <row r="327" spans="2:2" ht="14.25" customHeight="1" x14ac:dyDescent="0.45">
      <c r="B327" s="3"/>
    </row>
    <row r="328" spans="2:2" ht="14.25" customHeight="1" x14ac:dyDescent="0.45">
      <c r="B328" s="3"/>
    </row>
    <row r="329" spans="2:2" ht="14.25" customHeight="1" x14ac:dyDescent="0.45">
      <c r="B329" s="3"/>
    </row>
    <row r="330" spans="2:2" ht="14.25" customHeight="1" x14ac:dyDescent="0.45">
      <c r="B330" s="3"/>
    </row>
    <row r="331" spans="2:2" ht="14.25" customHeight="1" x14ac:dyDescent="0.45">
      <c r="B331" s="3"/>
    </row>
    <row r="332" spans="2:2" ht="14.25" customHeight="1" x14ac:dyDescent="0.45">
      <c r="B332" s="3"/>
    </row>
    <row r="333" spans="2:2" ht="14.25" customHeight="1" x14ac:dyDescent="0.45">
      <c r="B333" s="3"/>
    </row>
    <row r="334" spans="2:2" ht="14.25" customHeight="1" x14ac:dyDescent="0.45">
      <c r="B334" s="3"/>
    </row>
    <row r="335" spans="2:2" ht="14.25" customHeight="1" x14ac:dyDescent="0.45">
      <c r="B335" s="3"/>
    </row>
    <row r="336" spans="2:2" ht="14.25" customHeight="1" x14ac:dyDescent="0.45">
      <c r="B336" s="3"/>
    </row>
    <row r="337" spans="2:2" ht="14.25" customHeight="1" x14ac:dyDescent="0.45">
      <c r="B337" s="3"/>
    </row>
    <row r="338" spans="2:2" ht="14.25" customHeight="1" x14ac:dyDescent="0.45">
      <c r="B338" s="3"/>
    </row>
    <row r="339" spans="2:2" ht="14.25" customHeight="1" x14ac:dyDescent="0.45">
      <c r="B339" s="3"/>
    </row>
    <row r="340" spans="2:2" ht="14.25" customHeight="1" x14ac:dyDescent="0.45">
      <c r="B340" s="3"/>
    </row>
    <row r="341" spans="2:2" ht="14.25" customHeight="1" x14ac:dyDescent="0.45">
      <c r="B341" s="3"/>
    </row>
    <row r="342" spans="2:2" ht="14.25" customHeight="1" x14ac:dyDescent="0.45">
      <c r="B342" s="3"/>
    </row>
    <row r="343" spans="2:2" ht="14.25" customHeight="1" x14ac:dyDescent="0.45">
      <c r="B343" s="3"/>
    </row>
    <row r="344" spans="2:2" ht="14.25" customHeight="1" x14ac:dyDescent="0.45">
      <c r="B344" s="3"/>
    </row>
    <row r="345" spans="2:2" ht="14.25" customHeight="1" x14ac:dyDescent="0.45">
      <c r="B345" s="3"/>
    </row>
    <row r="346" spans="2:2" ht="14.25" customHeight="1" x14ac:dyDescent="0.45">
      <c r="B346" s="3"/>
    </row>
    <row r="347" spans="2:2" ht="14.25" customHeight="1" x14ac:dyDescent="0.45">
      <c r="B347" s="3"/>
    </row>
    <row r="348" spans="2:2" ht="14.25" customHeight="1" x14ac:dyDescent="0.45">
      <c r="B348" s="3"/>
    </row>
    <row r="349" spans="2:2" ht="14.25" customHeight="1" x14ac:dyDescent="0.45">
      <c r="B349" s="3"/>
    </row>
    <row r="350" spans="2:2" ht="14.25" customHeight="1" x14ac:dyDescent="0.45">
      <c r="B350" s="3"/>
    </row>
    <row r="351" spans="2:2" ht="14.25" customHeight="1" x14ac:dyDescent="0.45">
      <c r="B351" s="3"/>
    </row>
    <row r="352" spans="2:2" ht="14.25" customHeight="1" x14ac:dyDescent="0.45">
      <c r="B352" s="3"/>
    </row>
    <row r="353" spans="2:2" ht="14.25" customHeight="1" x14ac:dyDescent="0.45">
      <c r="B353" s="3"/>
    </row>
    <row r="354" spans="2:2" ht="14.25" customHeight="1" x14ac:dyDescent="0.45">
      <c r="B354" s="3"/>
    </row>
    <row r="355" spans="2:2" ht="14.25" customHeight="1" x14ac:dyDescent="0.45">
      <c r="B355" s="3"/>
    </row>
    <row r="356" spans="2:2" ht="14.25" customHeight="1" x14ac:dyDescent="0.45">
      <c r="B356" s="3"/>
    </row>
    <row r="357" spans="2:2" ht="14.25" customHeight="1" x14ac:dyDescent="0.45">
      <c r="B357" s="3"/>
    </row>
    <row r="358" spans="2:2" ht="14.25" customHeight="1" x14ac:dyDescent="0.45">
      <c r="B358" s="3"/>
    </row>
    <row r="359" spans="2:2" ht="14.25" customHeight="1" x14ac:dyDescent="0.45">
      <c r="B359" s="3"/>
    </row>
    <row r="360" spans="2:2" ht="14.25" customHeight="1" x14ac:dyDescent="0.45">
      <c r="B360" s="3"/>
    </row>
    <row r="361" spans="2:2" ht="14.25" customHeight="1" x14ac:dyDescent="0.45">
      <c r="B361" s="3"/>
    </row>
    <row r="362" spans="2:2" ht="14.25" customHeight="1" x14ac:dyDescent="0.45">
      <c r="B362" s="3"/>
    </row>
    <row r="363" spans="2:2" ht="14.25" customHeight="1" x14ac:dyDescent="0.45">
      <c r="B363" s="3"/>
    </row>
    <row r="364" spans="2:2" ht="14.25" customHeight="1" x14ac:dyDescent="0.45">
      <c r="B364" s="3"/>
    </row>
    <row r="365" spans="2:2" ht="14.25" customHeight="1" x14ac:dyDescent="0.45">
      <c r="B365" s="3"/>
    </row>
    <row r="366" spans="2:2" ht="14.25" customHeight="1" x14ac:dyDescent="0.45">
      <c r="B366" s="3"/>
    </row>
    <row r="367" spans="2:2" ht="14.25" customHeight="1" x14ac:dyDescent="0.45">
      <c r="B367" s="3"/>
    </row>
    <row r="368" spans="2:2" ht="14.25" customHeight="1" x14ac:dyDescent="0.45">
      <c r="B368" s="3"/>
    </row>
    <row r="369" spans="2:2" ht="14.25" customHeight="1" x14ac:dyDescent="0.45">
      <c r="B369" s="3"/>
    </row>
    <row r="370" spans="2:2" ht="14.25" customHeight="1" x14ac:dyDescent="0.45">
      <c r="B370" s="3"/>
    </row>
    <row r="371" spans="2:2" ht="14.25" customHeight="1" x14ac:dyDescent="0.45">
      <c r="B371" s="3"/>
    </row>
    <row r="372" spans="2:2" ht="14.25" customHeight="1" x14ac:dyDescent="0.45">
      <c r="B372" s="3"/>
    </row>
    <row r="373" spans="2:2" ht="14.25" customHeight="1" x14ac:dyDescent="0.45">
      <c r="B373" s="3"/>
    </row>
    <row r="374" spans="2:2" ht="14.25" customHeight="1" x14ac:dyDescent="0.45">
      <c r="B374" s="3"/>
    </row>
    <row r="375" spans="2:2" ht="14.25" customHeight="1" x14ac:dyDescent="0.45">
      <c r="B375" s="3"/>
    </row>
    <row r="376" spans="2:2" ht="14.25" customHeight="1" x14ac:dyDescent="0.45">
      <c r="B376" s="3"/>
    </row>
    <row r="377" spans="2:2" ht="14.25" customHeight="1" x14ac:dyDescent="0.45">
      <c r="B377" s="3"/>
    </row>
    <row r="378" spans="2:2" ht="14.25" customHeight="1" x14ac:dyDescent="0.45">
      <c r="B378" s="3"/>
    </row>
    <row r="379" spans="2:2" ht="14.25" customHeight="1" x14ac:dyDescent="0.45">
      <c r="B379" s="3"/>
    </row>
    <row r="380" spans="2:2" ht="14.25" customHeight="1" x14ac:dyDescent="0.45">
      <c r="B380" s="3"/>
    </row>
    <row r="381" spans="2:2" ht="14.25" customHeight="1" x14ac:dyDescent="0.45">
      <c r="B381" s="3"/>
    </row>
    <row r="382" spans="2:2" ht="14.25" customHeight="1" x14ac:dyDescent="0.45">
      <c r="B382" s="3"/>
    </row>
    <row r="383" spans="2:2" ht="14.25" customHeight="1" x14ac:dyDescent="0.45">
      <c r="B383" s="3"/>
    </row>
    <row r="384" spans="2:2" ht="14.25" customHeight="1" x14ac:dyDescent="0.45">
      <c r="B384" s="3"/>
    </row>
    <row r="385" spans="2:2" ht="14.25" customHeight="1" x14ac:dyDescent="0.45">
      <c r="B385" s="3"/>
    </row>
    <row r="386" spans="2:2" ht="14.25" customHeight="1" x14ac:dyDescent="0.45">
      <c r="B386" s="3"/>
    </row>
    <row r="387" spans="2:2" ht="14.25" customHeight="1" x14ac:dyDescent="0.45">
      <c r="B387" s="3"/>
    </row>
    <row r="388" spans="2:2" ht="14.25" customHeight="1" x14ac:dyDescent="0.45">
      <c r="B388" s="3"/>
    </row>
    <row r="389" spans="2:2" ht="14.25" customHeight="1" x14ac:dyDescent="0.45">
      <c r="B389" s="3"/>
    </row>
    <row r="390" spans="2:2" ht="14.25" customHeight="1" x14ac:dyDescent="0.45">
      <c r="B390" s="3"/>
    </row>
    <row r="391" spans="2:2" ht="14.25" customHeight="1" x14ac:dyDescent="0.45">
      <c r="B391" s="3"/>
    </row>
    <row r="392" spans="2:2" ht="14.25" customHeight="1" x14ac:dyDescent="0.45">
      <c r="B392" s="3"/>
    </row>
    <row r="393" spans="2:2" ht="14.25" customHeight="1" x14ac:dyDescent="0.45">
      <c r="B393" s="3"/>
    </row>
    <row r="394" spans="2:2" ht="14.25" customHeight="1" x14ac:dyDescent="0.45">
      <c r="B394" s="3"/>
    </row>
    <row r="395" spans="2:2" ht="14.25" customHeight="1" x14ac:dyDescent="0.45">
      <c r="B395" s="3"/>
    </row>
    <row r="396" spans="2:2" ht="14.25" customHeight="1" x14ac:dyDescent="0.45">
      <c r="B396" s="3"/>
    </row>
    <row r="397" spans="2:2" ht="14.25" customHeight="1" x14ac:dyDescent="0.45">
      <c r="B397" s="3"/>
    </row>
    <row r="398" spans="2:2" ht="14.25" customHeight="1" x14ac:dyDescent="0.45">
      <c r="B398" s="3"/>
    </row>
    <row r="399" spans="2:2" ht="14.25" customHeight="1" x14ac:dyDescent="0.45">
      <c r="B399" s="3"/>
    </row>
    <row r="400" spans="2:2" ht="14.25" customHeight="1" x14ac:dyDescent="0.45">
      <c r="B400" s="3"/>
    </row>
    <row r="401" spans="2:2" ht="14.25" customHeight="1" x14ac:dyDescent="0.45">
      <c r="B401" s="3"/>
    </row>
    <row r="402" spans="2:2" ht="14.25" customHeight="1" x14ac:dyDescent="0.45">
      <c r="B402" s="3"/>
    </row>
    <row r="403" spans="2:2" ht="14.25" customHeight="1" x14ac:dyDescent="0.45">
      <c r="B403" s="3"/>
    </row>
    <row r="404" spans="2:2" ht="14.25" customHeight="1" x14ac:dyDescent="0.45">
      <c r="B404" s="3"/>
    </row>
    <row r="405" spans="2:2" ht="14.25" customHeight="1" x14ac:dyDescent="0.45">
      <c r="B405" s="3"/>
    </row>
    <row r="406" spans="2:2" ht="14.25" customHeight="1" x14ac:dyDescent="0.45">
      <c r="B406" s="3"/>
    </row>
    <row r="407" spans="2:2" ht="14.25" customHeight="1" x14ac:dyDescent="0.45">
      <c r="B407" s="3"/>
    </row>
    <row r="408" spans="2:2" ht="14.25" customHeight="1" x14ac:dyDescent="0.45">
      <c r="B408" s="3"/>
    </row>
    <row r="409" spans="2:2" ht="14.25" customHeight="1" x14ac:dyDescent="0.45">
      <c r="B409" s="3"/>
    </row>
    <row r="410" spans="2:2" ht="14.25" customHeight="1" x14ac:dyDescent="0.45">
      <c r="B410" s="3"/>
    </row>
    <row r="411" spans="2:2" ht="14.25" customHeight="1" x14ac:dyDescent="0.45">
      <c r="B411" s="3"/>
    </row>
    <row r="412" spans="2:2" ht="14.25" customHeight="1" x14ac:dyDescent="0.45">
      <c r="B412" s="3"/>
    </row>
    <row r="413" spans="2:2" ht="14.25" customHeight="1" x14ac:dyDescent="0.45">
      <c r="B413" s="3"/>
    </row>
    <row r="414" spans="2:2" ht="14.25" customHeight="1" x14ac:dyDescent="0.45">
      <c r="B414" s="3"/>
    </row>
    <row r="415" spans="2:2" ht="14.25" customHeight="1" x14ac:dyDescent="0.45">
      <c r="B415" s="3"/>
    </row>
    <row r="416" spans="2:2" ht="14.25" customHeight="1" x14ac:dyDescent="0.45">
      <c r="B416" s="3"/>
    </row>
    <row r="417" spans="2:2" ht="14.25" customHeight="1" x14ac:dyDescent="0.45">
      <c r="B417" s="3"/>
    </row>
    <row r="418" spans="2:2" ht="14.25" customHeight="1" x14ac:dyDescent="0.45">
      <c r="B418" s="3"/>
    </row>
    <row r="419" spans="2:2" ht="14.25" customHeight="1" x14ac:dyDescent="0.45">
      <c r="B419" s="3"/>
    </row>
    <row r="420" spans="2:2" ht="14.25" customHeight="1" x14ac:dyDescent="0.45">
      <c r="B420" s="3"/>
    </row>
    <row r="421" spans="2:2" ht="14.25" customHeight="1" x14ac:dyDescent="0.45">
      <c r="B421" s="3"/>
    </row>
    <row r="422" spans="2:2" ht="14.25" customHeight="1" x14ac:dyDescent="0.45">
      <c r="B422" s="3"/>
    </row>
    <row r="423" spans="2:2" ht="14.25" customHeight="1" x14ac:dyDescent="0.45">
      <c r="B423" s="3"/>
    </row>
    <row r="424" spans="2:2" ht="14.25" customHeight="1" x14ac:dyDescent="0.45">
      <c r="B424" s="3"/>
    </row>
    <row r="425" spans="2:2" ht="14.25" customHeight="1" x14ac:dyDescent="0.45">
      <c r="B425" s="3"/>
    </row>
    <row r="426" spans="2:2" ht="14.25" customHeight="1" x14ac:dyDescent="0.45">
      <c r="B426" s="3"/>
    </row>
    <row r="427" spans="2:2" ht="14.25" customHeight="1" x14ac:dyDescent="0.45">
      <c r="B427" s="3"/>
    </row>
    <row r="428" spans="2:2" ht="14.25" customHeight="1" x14ac:dyDescent="0.45">
      <c r="B428" s="3"/>
    </row>
    <row r="429" spans="2:2" ht="14.25" customHeight="1" x14ac:dyDescent="0.45">
      <c r="B429" s="3"/>
    </row>
    <row r="430" spans="2:2" ht="14.25" customHeight="1" x14ac:dyDescent="0.45">
      <c r="B430" s="3"/>
    </row>
    <row r="431" spans="2:2" ht="14.25" customHeight="1" x14ac:dyDescent="0.45">
      <c r="B431" s="3"/>
    </row>
    <row r="432" spans="2:2" ht="14.25" customHeight="1" x14ac:dyDescent="0.45">
      <c r="B432" s="3"/>
    </row>
    <row r="433" spans="2:2" ht="14.25" customHeight="1" x14ac:dyDescent="0.45">
      <c r="B433" s="3"/>
    </row>
    <row r="434" spans="2:2" ht="14.25" customHeight="1" x14ac:dyDescent="0.45">
      <c r="B434" s="3"/>
    </row>
    <row r="435" spans="2:2" ht="14.25" customHeight="1" x14ac:dyDescent="0.45">
      <c r="B435" s="3"/>
    </row>
    <row r="436" spans="2:2" ht="14.25" customHeight="1" x14ac:dyDescent="0.45">
      <c r="B436" s="3"/>
    </row>
    <row r="437" spans="2:2" ht="14.25" customHeight="1" x14ac:dyDescent="0.45">
      <c r="B437" s="3"/>
    </row>
    <row r="438" spans="2:2" ht="14.25" customHeight="1" x14ac:dyDescent="0.45">
      <c r="B438" s="3"/>
    </row>
    <row r="439" spans="2:2" ht="14.25" customHeight="1" x14ac:dyDescent="0.45">
      <c r="B439" s="3"/>
    </row>
    <row r="440" spans="2:2" ht="14.25" customHeight="1" x14ac:dyDescent="0.45">
      <c r="B440" s="3"/>
    </row>
    <row r="441" spans="2:2" ht="14.25" customHeight="1" x14ac:dyDescent="0.45">
      <c r="B441" s="3"/>
    </row>
    <row r="442" spans="2:2" ht="14.25" customHeight="1" x14ac:dyDescent="0.45">
      <c r="B442" s="3"/>
    </row>
    <row r="443" spans="2:2" ht="14.25" customHeight="1" x14ac:dyDescent="0.45">
      <c r="B443" s="3"/>
    </row>
    <row r="444" spans="2:2" ht="14.25" customHeight="1" x14ac:dyDescent="0.45">
      <c r="B444" s="3"/>
    </row>
    <row r="445" spans="2:2" ht="14.25" customHeight="1" x14ac:dyDescent="0.45">
      <c r="B445" s="3"/>
    </row>
    <row r="446" spans="2:2" ht="14.25" customHeight="1" x14ac:dyDescent="0.45">
      <c r="B446" s="3"/>
    </row>
    <row r="447" spans="2:2" ht="14.25" customHeight="1" x14ac:dyDescent="0.45">
      <c r="B447" s="3"/>
    </row>
    <row r="448" spans="2:2" ht="14.25" customHeight="1" x14ac:dyDescent="0.45">
      <c r="B448" s="3"/>
    </row>
    <row r="449" spans="2:2" ht="14.25" customHeight="1" x14ac:dyDescent="0.45">
      <c r="B449" s="3"/>
    </row>
    <row r="450" spans="2:2" ht="14.25" customHeight="1" x14ac:dyDescent="0.45">
      <c r="B450" s="3"/>
    </row>
    <row r="451" spans="2:2" ht="14.25" customHeight="1" x14ac:dyDescent="0.45">
      <c r="B451" s="3"/>
    </row>
    <row r="452" spans="2:2" ht="14.25" customHeight="1" x14ac:dyDescent="0.45">
      <c r="B452" s="3"/>
    </row>
    <row r="453" spans="2:2" ht="14.25" customHeight="1" x14ac:dyDescent="0.45">
      <c r="B453" s="3"/>
    </row>
    <row r="454" spans="2:2" ht="14.25" customHeight="1" x14ac:dyDescent="0.45">
      <c r="B454" s="3"/>
    </row>
    <row r="455" spans="2:2" ht="14.25" customHeight="1" x14ac:dyDescent="0.45">
      <c r="B455" s="3"/>
    </row>
    <row r="456" spans="2:2" ht="14.25" customHeight="1" x14ac:dyDescent="0.45">
      <c r="B456" s="3"/>
    </row>
    <row r="457" spans="2:2" ht="14.25" customHeight="1" x14ac:dyDescent="0.45">
      <c r="B457" s="3"/>
    </row>
    <row r="458" spans="2:2" ht="14.25" customHeight="1" x14ac:dyDescent="0.45">
      <c r="B458" s="3"/>
    </row>
    <row r="459" spans="2:2" ht="14.25" customHeight="1" x14ac:dyDescent="0.45">
      <c r="B459" s="3"/>
    </row>
    <row r="460" spans="2:2" ht="14.25" customHeight="1" x14ac:dyDescent="0.45">
      <c r="B460" s="3"/>
    </row>
    <row r="461" spans="2:2" ht="14.25" customHeight="1" x14ac:dyDescent="0.45">
      <c r="B461" s="3"/>
    </row>
    <row r="462" spans="2:2" ht="14.25" customHeight="1" x14ac:dyDescent="0.45">
      <c r="B462" s="3"/>
    </row>
    <row r="463" spans="2:2" ht="14.25" customHeight="1" x14ac:dyDescent="0.45">
      <c r="B463" s="3"/>
    </row>
    <row r="464" spans="2:2" ht="14.25" customHeight="1" x14ac:dyDescent="0.45">
      <c r="B464" s="3"/>
    </row>
    <row r="465" spans="2:2" ht="14.25" customHeight="1" x14ac:dyDescent="0.45">
      <c r="B465" s="3"/>
    </row>
    <row r="466" spans="2:2" ht="14.25" customHeight="1" x14ac:dyDescent="0.45">
      <c r="B466" s="3"/>
    </row>
    <row r="467" spans="2:2" ht="14.25" customHeight="1" x14ac:dyDescent="0.45">
      <c r="B467" s="3"/>
    </row>
    <row r="468" spans="2:2" ht="14.25" customHeight="1" x14ac:dyDescent="0.45">
      <c r="B468" s="3"/>
    </row>
    <row r="469" spans="2:2" ht="14.25" customHeight="1" x14ac:dyDescent="0.45">
      <c r="B469" s="3"/>
    </row>
    <row r="470" spans="2:2" ht="14.25" customHeight="1" x14ac:dyDescent="0.45">
      <c r="B470" s="3"/>
    </row>
    <row r="471" spans="2:2" ht="14.25" customHeight="1" x14ac:dyDescent="0.45">
      <c r="B471" s="3"/>
    </row>
    <row r="472" spans="2:2" ht="14.25" customHeight="1" x14ac:dyDescent="0.45">
      <c r="B472" s="3"/>
    </row>
    <row r="473" spans="2:2" ht="14.25" customHeight="1" x14ac:dyDescent="0.45">
      <c r="B473" s="3"/>
    </row>
    <row r="474" spans="2:2" ht="14.25" customHeight="1" x14ac:dyDescent="0.45">
      <c r="B474" s="3"/>
    </row>
    <row r="475" spans="2:2" ht="14.25" customHeight="1" x14ac:dyDescent="0.45">
      <c r="B475" s="3"/>
    </row>
    <row r="476" spans="2:2" ht="14.25" customHeight="1" x14ac:dyDescent="0.45">
      <c r="B476" s="3"/>
    </row>
    <row r="477" spans="2:2" ht="14.25" customHeight="1" x14ac:dyDescent="0.45">
      <c r="B477" s="3"/>
    </row>
    <row r="478" spans="2:2" ht="14.25" customHeight="1" x14ac:dyDescent="0.45">
      <c r="B478" s="3"/>
    </row>
    <row r="479" spans="2:2" ht="14.25" customHeight="1" x14ac:dyDescent="0.45">
      <c r="B479" s="3"/>
    </row>
    <row r="480" spans="2:2" ht="14.25" customHeight="1" x14ac:dyDescent="0.45">
      <c r="B480" s="3"/>
    </row>
    <row r="481" spans="2:2" ht="14.25" customHeight="1" x14ac:dyDescent="0.45">
      <c r="B481" s="3"/>
    </row>
    <row r="482" spans="2:2" ht="14.25" customHeight="1" x14ac:dyDescent="0.45">
      <c r="B482" s="3"/>
    </row>
    <row r="483" spans="2:2" ht="14.25" customHeight="1" x14ac:dyDescent="0.45">
      <c r="B483" s="3"/>
    </row>
    <row r="484" spans="2:2" ht="14.25" customHeight="1" x14ac:dyDescent="0.45">
      <c r="B484" s="3"/>
    </row>
    <row r="485" spans="2:2" ht="14.25" customHeight="1" x14ac:dyDescent="0.45">
      <c r="B485" s="3"/>
    </row>
    <row r="486" spans="2:2" ht="14.25" customHeight="1" x14ac:dyDescent="0.45">
      <c r="B486" s="3"/>
    </row>
    <row r="487" spans="2:2" ht="14.25" customHeight="1" x14ac:dyDescent="0.45">
      <c r="B487" s="3"/>
    </row>
    <row r="488" spans="2:2" ht="14.25" customHeight="1" x14ac:dyDescent="0.45">
      <c r="B488" s="3"/>
    </row>
    <row r="489" spans="2:2" ht="14.25" customHeight="1" x14ac:dyDescent="0.45">
      <c r="B489" s="3"/>
    </row>
    <row r="490" spans="2:2" ht="14.25" customHeight="1" x14ac:dyDescent="0.45">
      <c r="B490" s="3"/>
    </row>
    <row r="491" spans="2:2" ht="14.25" customHeight="1" x14ac:dyDescent="0.45">
      <c r="B491" s="3"/>
    </row>
    <row r="492" spans="2:2" ht="14.25" customHeight="1" x14ac:dyDescent="0.45">
      <c r="B492" s="3"/>
    </row>
    <row r="493" spans="2:2" ht="14.25" customHeight="1" x14ac:dyDescent="0.45">
      <c r="B493" s="3"/>
    </row>
    <row r="494" spans="2:2" ht="14.25" customHeight="1" x14ac:dyDescent="0.45">
      <c r="B494" s="3"/>
    </row>
    <row r="495" spans="2:2" ht="14.25" customHeight="1" x14ac:dyDescent="0.45">
      <c r="B495" s="3"/>
    </row>
    <row r="496" spans="2:2" ht="14.25" customHeight="1" x14ac:dyDescent="0.45">
      <c r="B496" s="3"/>
    </row>
    <row r="497" spans="2:2" ht="14.25" customHeight="1" x14ac:dyDescent="0.45">
      <c r="B497" s="3"/>
    </row>
    <row r="498" spans="2:2" ht="14.25" customHeight="1" x14ac:dyDescent="0.45">
      <c r="B498" s="3"/>
    </row>
    <row r="499" spans="2:2" ht="14.25" customHeight="1" x14ac:dyDescent="0.45">
      <c r="B499" s="3"/>
    </row>
    <row r="500" spans="2:2" ht="14.25" customHeight="1" x14ac:dyDescent="0.45">
      <c r="B500" s="3"/>
    </row>
    <row r="501" spans="2:2" ht="14.25" customHeight="1" x14ac:dyDescent="0.45">
      <c r="B501" s="3"/>
    </row>
    <row r="502" spans="2:2" ht="14.25" customHeight="1" x14ac:dyDescent="0.45">
      <c r="B502" s="3"/>
    </row>
    <row r="503" spans="2:2" ht="14.25" customHeight="1" x14ac:dyDescent="0.45">
      <c r="B503" s="3"/>
    </row>
    <row r="504" spans="2:2" ht="14.25" customHeight="1" x14ac:dyDescent="0.45">
      <c r="B504" s="3"/>
    </row>
    <row r="505" spans="2:2" ht="14.25" customHeight="1" x14ac:dyDescent="0.45">
      <c r="B505" s="3"/>
    </row>
    <row r="506" spans="2:2" ht="14.25" customHeight="1" x14ac:dyDescent="0.45">
      <c r="B506" s="3"/>
    </row>
    <row r="507" spans="2:2" ht="14.25" customHeight="1" x14ac:dyDescent="0.45">
      <c r="B507" s="3"/>
    </row>
    <row r="508" spans="2:2" ht="14.25" customHeight="1" x14ac:dyDescent="0.45">
      <c r="B508" s="3"/>
    </row>
    <row r="509" spans="2:2" ht="14.25" customHeight="1" x14ac:dyDescent="0.45">
      <c r="B509" s="3"/>
    </row>
    <row r="510" spans="2:2" ht="14.25" customHeight="1" x14ac:dyDescent="0.45">
      <c r="B510" s="3"/>
    </row>
    <row r="511" spans="2:2" ht="14.25" customHeight="1" x14ac:dyDescent="0.45">
      <c r="B511" s="3"/>
    </row>
    <row r="512" spans="2:2" ht="14.25" customHeight="1" x14ac:dyDescent="0.45">
      <c r="B512" s="3"/>
    </row>
    <row r="513" spans="2:2" ht="14.25" customHeight="1" x14ac:dyDescent="0.45">
      <c r="B513" s="3"/>
    </row>
    <row r="514" spans="2:2" ht="14.25" customHeight="1" x14ac:dyDescent="0.45">
      <c r="B514" s="3"/>
    </row>
    <row r="515" spans="2:2" ht="14.25" customHeight="1" x14ac:dyDescent="0.45">
      <c r="B515" s="3"/>
    </row>
    <row r="516" spans="2:2" ht="14.25" customHeight="1" x14ac:dyDescent="0.45">
      <c r="B516" s="3"/>
    </row>
    <row r="517" spans="2:2" ht="14.25" customHeight="1" x14ac:dyDescent="0.45">
      <c r="B517" s="3"/>
    </row>
    <row r="518" spans="2:2" ht="14.25" customHeight="1" x14ac:dyDescent="0.45">
      <c r="B518" s="3"/>
    </row>
    <row r="519" spans="2:2" ht="14.25" customHeight="1" x14ac:dyDescent="0.45">
      <c r="B519" s="3"/>
    </row>
    <row r="520" spans="2:2" ht="14.25" customHeight="1" x14ac:dyDescent="0.45">
      <c r="B520" s="3"/>
    </row>
    <row r="521" spans="2:2" ht="14.25" customHeight="1" x14ac:dyDescent="0.45">
      <c r="B521" s="3"/>
    </row>
    <row r="522" spans="2:2" ht="14.25" customHeight="1" x14ac:dyDescent="0.45">
      <c r="B522" s="3"/>
    </row>
    <row r="523" spans="2:2" ht="14.25" customHeight="1" x14ac:dyDescent="0.45">
      <c r="B523" s="3"/>
    </row>
    <row r="524" spans="2:2" ht="14.25" customHeight="1" x14ac:dyDescent="0.45">
      <c r="B524" s="3"/>
    </row>
    <row r="525" spans="2:2" ht="14.25" customHeight="1" x14ac:dyDescent="0.45">
      <c r="B525" s="3"/>
    </row>
    <row r="526" spans="2:2" ht="14.25" customHeight="1" x14ac:dyDescent="0.45">
      <c r="B526" s="3"/>
    </row>
    <row r="527" spans="2:2" ht="14.25" customHeight="1" x14ac:dyDescent="0.45">
      <c r="B527" s="3"/>
    </row>
    <row r="528" spans="2:2" ht="14.25" customHeight="1" x14ac:dyDescent="0.45">
      <c r="B528" s="3"/>
    </row>
    <row r="529" spans="2:2" ht="14.25" customHeight="1" x14ac:dyDescent="0.45">
      <c r="B529" s="3"/>
    </row>
    <row r="530" spans="2:2" ht="14.25" customHeight="1" x14ac:dyDescent="0.45">
      <c r="B530" s="3"/>
    </row>
    <row r="531" spans="2:2" ht="14.25" customHeight="1" x14ac:dyDescent="0.45">
      <c r="B531" s="3"/>
    </row>
    <row r="532" spans="2:2" ht="14.25" customHeight="1" x14ac:dyDescent="0.45">
      <c r="B532" s="3"/>
    </row>
    <row r="533" spans="2:2" ht="14.25" customHeight="1" x14ac:dyDescent="0.45">
      <c r="B533" s="3"/>
    </row>
    <row r="534" spans="2:2" ht="14.25" customHeight="1" x14ac:dyDescent="0.45">
      <c r="B534" s="3"/>
    </row>
    <row r="535" spans="2:2" ht="14.25" customHeight="1" x14ac:dyDescent="0.45">
      <c r="B535" s="3"/>
    </row>
    <row r="536" spans="2:2" ht="14.25" customHeight="1" x14ac:dyDescent="0.45">
      <c r="B536" s="3"/>
    </row>
    <row r="537" spans="2:2" ht="14.25" customHeight="1" x14ac:dyDescent="0.45">
      <c r="B537" s="3"/>
    </row>
    <row r="538" spans="2:2" ht="14.25" customHeight="1" x14ac:dyDescent="0.45">
      <c r="B538" s="3"/>
    </row>
    <row r="539" spans="2:2" ht="14.25" customHeight="1" x14ac:dyDescent="0.45">
      <c r="B539" s="3"/>
    </row>
    <row r="540" spans="2:2" ht="14.25" customHeight="1" x14ac:dyDescent="0.45">
      <c r="B540" s="3"/>
    </row>
    <row r="541" spans="2:2" ht="14.25" customHeight="1" x14ac:dyDescent="0.45">
      <c r="B541" s="3"/>
    </row>
    <row r="542" spans="2:2" ht="14.25" customHeight="1" x14ac:dyDescent="0.45">
      <c r="B542" s="3"/>
    </row>
    <row r="543" spans="2:2" ht="14.25" customHeight="1" x14ac:dyDescent="0.45">
      <c r="B543" s="3"/>
    </row>
    <row r="544" spans="2:2" ht="14.25" customHeight="1" x14ac:dyDescent="0.45">
      <c r="B544" s="3"/>
    </row>
    <row r="545" spans="2:2" ht="14.25" customHeight="1" x14ac:dyDescent="0.45">
      <c r="B545" s="3"/>
    </row>
    <row r="546" spans="2:2" ht="14.25" customHeight="1" x14ac:dyDescent="0.45">
      <c r="B546" s="3"/>
    </row>
    <row r="547" spans="2:2" ht="14.25" customHeight="1" x14ac:dyDescent="0.45">
      <c r="B547" s="3"/>
    </row>
    <row r="548" spans="2:2" ht="14.25" customHeight="1" x14ac:dyDescent="0.45">
      <c r="B548" s="3"/>
    </row>
    <row r="549" spans="2:2" ht="14.25" customHeight="1" x14ac:dyDescent="0.45">
      <c r="B549" s="3"/>
    </row>
    <row r="550" spans="2:2" ht="14.25" customHeight="1" x14ac:dyDescent="0.45">
      <c r="B550" s="3"/>
    </row>
    <row r="551" spans="2:2" ht="14.25" customHeight="1" x14ac:dyDescent="0.45">
      <c r="B551" s="3"/>
    </row>
    <row r="552" spans="2:2" ht="14.25" customHeight="1" x14ac:dyDescent="0.45">
      <c r="B552" s="3"/>
    </row>
    <row r="553" spans="2:2" ht="14.25" customHeight="1" x14ac:dyDescent="0.45">
      <c r="B553" s="3"/>
    </row>
    <row r="554" spans="2:2" ht="14.25" customHeight="1" x14ac:dyDescent="0.45">
      <c r="B554" s="3"/>
    </row>
    <row r="555" spans="2:2" ht="14.25" customHeight="1" x14ac:dyDescent="0.45">
      <c r="B555" s="3"/>
    </row>
    <row r="556" spans="2:2" ht="14.25" customHeight="1" x14ac:dyDescent="0.45">
      <c r="B556" s="3"/>
    </row>
    <row r="557" spans="2:2" ht="14.25" customHeight="1" x14ac:dyDescent="0.45">
      <c r="B557" s="3"/>
    </row>
    <row r="558" spans="2:2" ht="14.25" customHeight="1" x14ac:dyDescent="0.45">
      <c r="B558" s="3"/>
    </row>
    <row r="559" spans="2:2" ht="14.25" customHeight="1" x14ac:dyDescent="0.45">
      <c r="B559" s="3"/>
    </row>
    <row r="560" spans="2:2" ht="14.25" customHeight="1" x14ac:dyDescent="0.45">
      <c r="B560" s="3"/>
    </row>
    <row r="561" spans="2:2" ht="14.25" customHeight="1" x14ac:dyDescent="0.45">
      <c r="B561" s="3"/>
    </row>
    <row r="562" spans="2:2" ht="14.25" customHeight="1" x14ac:dyDescent="0.45">
      <c r="B562" s="3"/>
    </row>
    <row r="563" spans="2:2" ht="14.25" customHeight="1" x14ac:dyDescent="0.45">
      <c r="B563" s="3"/>
    </row>
    <row r="564" spans="2:2" ht="14.25" customHeight="1" x14ac:dyDescent="0.45">
      <c r="B564" s="3"/>
    </row>
    <row r="565" spans="2:2" ht="14.25" customHeight="1" x14ac:dyDescent="0.45">
      <c r="B565" s="3"/>
    </row>
    <row r="566" spans="2:2" ht="14.25" customHeight="1" x14ac:dyDescent="0.45">
      <c r="B566" s="3"/>
    </row>
    <row r="567" spans="2:2" ht="14.25" customHeight="1" x14ac:dyDescent="0.45">
      <c r="B567" s="3"/>
    </row>
    <row r="568" spans="2:2" ht="14.25" customHeight="1" x14ac:dyDescent="0.45">
      <c r="B568" s="3"/>
    </row>
    <row r="569" spans="2:2" ht="14.25" customHeight="1" x14ac:dyDescent="0.45">
      <c r="B569" s="3"/>
    </row>
    <row r="570" spans="2:2" ht="14.25" customHeight="1" x14ac:dyDescent="0.45">
      <c r="B570" s="3"/>
    </row>
    <row r="571" spans="2:2" ht="14.25" customHeight="1" x14ac:dyDescent="0.45">
      <c r="B571" s="3"/>
    </row>
    <row r="572" spans="2:2" ht="14.25" customHeight="1" x14ac:dyDescent="0.45">
      <c r="B572" s="3"/>
    </row>
    <row r="573" spans="2:2" ht="14.25" customHeight="1" x14ac:dyDescent="0.45">
      <c r="B573" s="3"/>
    </row>
    <row r="574" spans="2:2" ht="14.25" customHeight="1" x14ac:dyDescent="0.45">
      <c r="B574" s="3"/>
    </row>
    <row r="575" spans="2:2" ht="14.25" customHeight="1" x14ac:dyDescent="0.45">
      <c r="B575" s="3"/>
    </row>
    <row r="576" spans="2:2" ht="14.25" customHeight="1" x14ac:dyDescent="0.45">
      <c r="B576" s="3"/>
    </row>
    <row r="577" spans="2:2" ht="14.25" customHeight="1" x14ac:dyDescent="0.45">
      <c r="B577" s="3"/>
    </row>
    <row r="578" spans="2:2" ht="14.25" customHeight="1" x14ac:dyDescent="0.45">
      <c r="B578" s="3"/>
    </row>
    <row r="579" spans="2:2" ht="14.25" customHeight="1" x14ac:dyDescent="0.45">
      <c r="B579" s="3"/>
    </row>
    <row r="580" spans="2:2" ht="14.25" customHeight="1" x14ac:dyDescent="0.45">
      <c r="B580" s="3"/>
    </row>
    <row r="581" spans="2:2" ht="14.25" customHeight="1" x14ac:dyDescent="0.45">
      <c r="B581" s="3"/>
    </row>
    <row r="582" spans="2:2" ht="14.25" customHeight="1" x14ac:dyDescent="0.45">
      <c r="B582" s="3"/>
    </row>
    <row r="583" spans="2:2" ht="14.25" customHeight="1" x14ac:dyDescent="0.45">
      <c r="B583" s="3"/>
    </row>
    <row r="584" spans="2:2" ht="14.25" customHeight="1" x14ac:dyDescent="0.45">
      <c r="B584" s="3"/>
    </row>
    <row r="585" spans="2:2" ht="14.25" customHeight="1" x14ac:dyDescent="0.45">
      <c r="B585" s="3"/>
    </row>
    <row r="586" spans="2:2" ht="14.25" customHeight="1" x14ac:dyDescent="0.45">
      <c r="B586" s="3"/>
    </row>
    <row r="587" spans="2:2" ht="14.25" customHeight="1" x14ac:dyDescent="0.45">
      <c r="B587" s="3"/>
    </row>
    <row r="588" spans="2:2" ht="14.25" customHeight="1" x14ac:dyDescent="0.45">
      <c r="B588" s="3"/>
    </row>
    <row r="589" spans="2:2" ht="14.25" customHeight="1" x14ac:dyDescent="0.45">
      <c r="B589" s="3"/>
    </row>
    <row r="590" spans="2:2" ht="14.25" customHeight="1" x14ac:dyDescent="0.45">
      <c r="B590" s="3"/>
    </row>
    <row r="591" spans="2:2" ht="14.25" customHeight="1" x14ac:dyDescent="0.45">
      <c r="B591" s="3"/>
    </row>
    <row r="592" spans="2:2" ht="14.25" customHeight="1" x14ac:dyDescent="0.45">
      <c r="B592" s="3"/>
    </row>
    <row r="593" spans="2:2" ht="14.25" customHeight="1" x14ac:dyDescent="0.45">
      <c r="B593" s="3"/>
    </row>
    <row r="594" spans="2:2" ht="14.25" customHeight="1" x14ac:dyDescent="0.45">
      <c r="B594" s="3"/>
    </row>
    <row r="595" spans="2:2" ht="14.25" customHeight="1" x14ac:dyDescent="0.45">
      <c r="B595" s="3"/>
    </row>
    <row r="596" spans="2:2" ht="14.25" customHeight="1" x14ac:dyDescent="0.45">
      <c r="B596" s="3"/>
    </row>
    <row r="597" spans="2:2" ht="14.25" customHeight="1" x14ac:dyDescent="0.45">
      <c r="B597" s="3"/>
    </row>
    <row r="598" spans="2:2" ht="14.25" customHeight="1" x14ac:dyDescent="0.45">
      <c r="B598" s="3"/>
    </row>
    <row r="599" spans="2:2" ht="14.25" customHeight="1" x14ac:dyDescent="0.45">
      <c r="B599" s="3"/>
    </row>
    <row r="600" spans="2:2" ht="14.25" customHeight="1" x14ac:dyDescent="0.45">
      <c r="B600" s="3"/>
    </row>
    <row r="601" spans="2:2" ht="14.25" customHeight="1" x14ac:dyDescent="0.45">
      <c r="B601" s="3"/>
    </row>
    <row r="602" spans="2:2" ht="14.25" customHeight="1" x14ac:dyDescent="0.45">
      <c r="B602" s="3"/>
    </row>
    <row r="603" spans="2:2" ht="14.25" customHeight="1" x14ac:dyDescent="0.45">
      <c r="B603" s="3"/>
    </row>
    <row r="604" spans="2:2" ht="14.25" customHeight="1" x14ac:dyDescent="0.45">
      <c r="B604" s="3"/>
    </row>
    <row r="605" spans="2:2" ht="14.25" customHeight="1" x14ac:dyDescent="0.45">
      <c r="B605" s="3"/>
    </row>
    <row r="606" spans="2:2" ht="14.25" customHeight="1" x14ac:dyDescent="0.45">
      <c r="B606" s="3"/>
    </row>
    <row r="607" spans="2:2" ht="14.25" customHeight="1" x14ac:dyDescent="0.45">
      <c r="B607" s="3"/>
    </row>
    <row r="608" spans="2:2" ht="14.25" customHeight="1" x14ac:dyDescent="0.45">
      <c r="B608" s="3"/>
    </row>
    <row r="609" spans="2:2" ht="14.25" customHeight="1" x14ac:dyDescent="0.45">
      <c r="B609" s="3"/>
    </row>
    <row r="610" spans="2:2" ht="14.25" customHeight="1" x14ac:dyDescent="0.45">
      <c r="B610" s="3"/>
    </row>
    <row r="611" spans="2:2" ht="14.25" customHeight="1" x14ac:dyDescent="0.45">
      <c r="B611" s="3"/>
    </row>
    <row r="612" spans="2:2" ht="14.25" customHeight="1" x14ac:dyDescent="0.45">
      <c r="B612" s="3"/>
    </row>
    <row r="613" spans="2:2" ht="14.25" customHeight="1" x14ac:dyDescent="0.45">
      <c r="B613" s="3"/>
    </row>
    <row r="614" spans="2:2" ht="14.25" customHeight="1" x14ac:dyDescent="0.45">
      <c r="B614" s="3"/>
    </row>
    <row r="615" spans="2:2" ht="14.25" customHeight="1" x14ac:dyDescent="0.45">
      <c r="B615" s="3"/>
    </row>
    <row r="616" spans="2:2" ht="14.25" customHeight="1" x14ac:dyDescent="0.45">
      <c r="B616" s="3"/>
    </row>
    <row r="617" spans="2:2" ht="14.25" customHeight="1" x14ac:dyDescent="0.45">
      <c r="B617" s="3"/>
    </row>
    <row r="618" spans="2:2" ht="14.25" customHeight="1" x14ac:dyDescent="0.45">
      <c r="B618" s="3"/>
    </row>
    <row r="619" spans="2:2" ht="14.25" customHeight="1" x14ac:dyDescent="0.45">
      <c r="B619" s="3"/>
    </row>
    <row r="620" spans="2:2" ht="14.25" customHeight="1" x14ac:dyDescent="0.45">
      <c r="B620" s="3"/>
    </row>
    <row r="621" spans="2:2" ht="14.25" customHeight="1" x14ac:dyDescent="0.45">
      <c r="B621" s="3"/>
    </row>
    <row r="622" spans="2:2" ht="14.25" customHeight="1" x14ac:dyDescent="0.45">
      <c r="B622" s="3"/>
    </row>
    <row r="623" spans="2:2" ht="14.25" customHeight="1" x14ac:dyDescent="0.45">
      <c r="B623" s="3"/>
    </row>
    <row r="624" spans="2:2" ht="14.25" customHeight="1" x14ac:dyDescent="0.45">
      <c r="B624" s="3"/>
    </row>
    <row r="625" spans="2:2" ht="14.25" customHeight="1" x14ac:dyDescent="0.45">
      <c r="B625" s="3"/>
    </row>
    <row r="626" spans="2:2" ht="14.25" customHeight="1" x14ac:dyDescent="0.45">
      <c r="B626" s="3"/>
    </row>
    <row r="627" spans="2:2" ht="14.25" customHeight="1" x14ac:dyDescent="0.45">
      <c r="B627" s="3"/>
    </row>
    <row r="628" spans="2:2" ht="14.25" customHeight="1" x14ac:dyDescent="0.45">
      <c r="B628" s="3"/>
    </row>
    <row r="629" spans="2:2" ht="14.25" customHeight="1" x14ac:dyDescent="0.45">
      <c r="B629" s="3"/>
    </row>
    <row r="630" spans="2:2" ht="14.25" customHeight="1" x14ac:dyDescent="0.45">
      <c r="B630" s="3"/>
    </row>
    <row r="631" spans="2:2" ht="14.25" customHeight="1" x14ac:dyDescent="0.45">
      <c r="B631" s="3"/>
    </row>
    <row r="632" spans="2:2" ht="14.25" customHeight="1" x14ac:dyDescent="0.45">
      <c r="B632" s="3"/>
    </row>
    <row r="633" spans="2:2" ht="14.25" customHeight="1" x14ac:dyDescent="0.45">
      <c r="B633" s="3"/>
    </row>
    <row r="634" spans="2:2" ht="14.25" customHeight="1" x14ac:dyDescent="0.45">
      <c r="B634" s="3"/>
    </row>
    <row r="635" spans="2:2" ht="14.25" customHeight="1" x14ac:dyDescent="0.45">
      <c r="B635" s="3"/>
    </row>
    <row r="636" spans="2:2" ht="14.25" customHeight="1" x14ac:dyDescent="0.45">
      <c r="B636" s="3"/>
    </row>
    <row r="637" spans="2:2" ht="14.25" customHeight="1" x14ac:dyDescent="0.45">
      <c r="B637" s="3"/>
    </row>
    <row r="638" spans="2:2" ht="14.25" customHeight="1" x14ac:dyDescent="0.45">
      <c r="B638" s="3"/>
    </row>
    <row r="639" spans="2:2" ht="14.25" customHeight="1" x14ac:dyDescent="0.45">
      <c r="B639" s="3"/>
    </row>
    <row r="640" spans="2:2" ht="14.25" customHeight="1" x14ac:dyDescent="0.45">
      <c r="B640" s="3"/>
    </row>
    <row r="641" spans="2:2" ht="14.25" customHeight="1" x14ac:dyDescent="0.45">
      <c r="B641" s="3"/>
    </row>
    <row r="642" spans="2:2" ht="14.25" customHeight="1" x14ac:dyDescent="0.45">
      <c r="B642" s="3"/>
    </row>
    <row r="643" spans="2:2" ht="14.25" customHeight="1" x14ac:dyDescent="0.45">
      <c r="B643" s="3"/>
    </row>
    <row r="644" spans="2:2" ht="14.25" customHeight="1" x14ac:dyDescent="0.45">
      <c r="B644" s="3"/>
    </row>
    <row r="645" spans="2:2" ht="14.25" customHeight="1" x14ac:dyDescent="0.45">
      <c r="B645" s="3"/>
    </row>
    <row r="646" spans="2:2" ht="14.25" customHeight="1" x14ac:dyDescent="0.45">
      <c r="B646" s="3"/>
    </row>
    <row r="647" spans="2:2" ht="14.25" customHeight="1" x14ac:dyDescent="0.45">
      <c r="B647" s="3"/>
    </row>
    <row r="648" spans="2:2" ht="14.25" customHeight="1" x14ac:dyDescent="0.45">
      <c r="B648" s="3"/>
    </row>
    <row r="649" spans="2:2" ht="14.25" customHeight="1" x14ac:dyDescent="0.45">
      <c r="B649" s="3"/>
    </row>
    <row r="650" spans="2:2" ht="14.25" customHeight="1" x14ac:dyDescent="0.45">
      <c r="B650" s="3"/>
    </row>
    <row r="651" spans="2:2" ht="14.25" customHeight="1" x14ac:dyDescent="0.45">
      <c r="B651" s="3"/>
    </row>
    <row r="652" spans="2:2" ht="14.25" customHeight="1" x14ac:dyDescent="0.45">
      <c r="B652" s="3"/>
    </row>
    <row r="653" spans="2:2" ht="14.25" customHeight="1" x14ac:dyDescent="0.45">
      <c r="B653" s="3"/>
    </row>
    <row r="654" spans="2:2" ht="14.25" customHeight="1" x14ac:dyDescent="0.45">
      <c r="B654" s="3"/>
    </row>
    <row r="655" spans="2:2" ht="14.25" customHeight="1" x14ac:dyDescent="0.45">
      <c r="B655" s="3"/>
    </row>
    <row r="656" spans="2:2" ht="14.25" customHeight="1" x14ac:dyDescent="0.45">
      <c r="B656" s="3"/>
    </row>
    <row r="657" spans="2:2" ht="14.25" customHeight="1" x14ac:dyDescent="0.45">
      <c r="B657" s="3"/>
    </row>
    <row r="658" spans="2:2" ht="14.25" customHeight="1" x14ac:dyDescent="0.45">
      <c r="B658" s="3"/>
    </row>
    <row r="659" spans="2:2" ht="14.25" customHeight="1" x14ac:dyDescent="0.45">
      <c r="B659" s="3"/>
    </row>
    <row r="660" spans="2:2" ht="14.25" customHeight="1" x14ac:dyDescent="0.45">
      <c r="B660" s="3"/>
    </row>
    <row r="661" spans="2:2" ht="14.25" customHeight="1" x14ac:dyDescent="0.45">
      <c r="B661" s="3"/>
    </row>
    <row r="662" spans="2:2" ht="14.25" customHeight="1" x14ac:dyDescent="0.45">
      <c r="B662" s="3"/>
    </row>
    <row r="663" spans="2:2" ht="14.25" customHeight="1" x14ac:dyDescent="0.45">
      <c r="B663" s="3"/>
    </row>
    <row r="664" spans="2:2" ht="14.25" customHeight="1" x14ac:dyDescent="0.45">
      <c r="B664" s="3"/>
    </row>
    <row r="665" spans="2:2" ht="14.25" customHeight="1" x14ac:dyDescent="0.45">
      <c r="B665" s="3"/>
    </row>
    <row r="666" spans="2:2" ht="14.25" customHeight="1" x14ac:dyDescent="0.45">
      <c r="B666" s="3"/>
    </row>
    <row r="667" spans="2:2" ht="14.25" customHeight="1" x14ac:dyDescent="0.45">
      <c r="B667" s="3"/>
    </row>
    <row r="668" spans="2:2" ht="14.25" customHeight="1" x14ac:dyDescent="0.45">
      <c r="B668" s="3"/>
    </row>
    <row r="669" spans="2:2" ht="14.25" customHeight="1" x14ac:dyDescent="0.45">
      <c r="B669" s="3"/>
    </row>
    <row r="670" spans="2:2" ht="14.25" customHeight="1" x14ac:dyDescent="0.45">
      <c r="B670" s="3"/>
    </row>
    <row r="671" spans="2:2" ht="14.25" customHeight="1" x14ac:dyDescent="0.45">
      <c r="B671" s="3"/>
    </row>
    <row r="672" spans="2:2" ht="14.25" customHeight="1" x14ac:dyDescent="0.45">
      <c r="B672" s="3"/>
    </row>
    <row r="673" spans="2:2" ht="14.25" customHeight="1" x14ac:dyDescent="0.45">
      <c r="B673" s="3"/>
    </row>
    <row r="674" spans="2:2" ht="14.25" customHeight="1" x14ac:dyDescent="0.45">
      <c r="B674" s="3"/>
    </row>
    <row r="675" spans="2:2" ht="14.25" customHeight="1" x14ac:dyDescent="0.45">
      <c r="B675" s="3"/>
    </row>
    <row r="676" spans="2:2" ht="14.25" customHeight="1" x14ac:dyDescent="0.45">
      <c r="B676" s="3"/>
    </row>
    <row r="677" spans="2:2" ht="14.25" customHeight="1" x14ac:dyDescent="0.45">
      <c r="B677" s="3"/>
    </row>
    <row r="678" spans="2:2" ht="14.25" customHeight="1" x14ac:dyDescent="0.45">
      <c r="B678" s="3"/>
    </row>
    <row r="679" spans="2:2" ht="14.25" customHeight="1" x14ac:dyDescent="0.45">
      <c r="B679" s="3"/>
    </row>
    <row r="680" spans="2:2" ht="14.25" customHeight="1" x14ac:dyDescent="0.45">
      <c r="B680" s="3"/>
    </row>
    <row r="681" spans="2:2" ht="14.25" customHeight="1" x14ac:dyDescent="0.45">
      <c r="B681" s="3"/>
    </row>
    <row r="682" spans="2:2" ht="14.25" customHeight="1" x14ac:dyDescent="0.45">
      <c r="B682" s="3"/>
    </row>
    <row r="683" spans="2:2" ht="14.25" customHeight="1" x14ac:dyDescent="0.45">
      <c r="B683" s="3"/>
    </row>
    <row r="684" spans="2:2" ht="14.25" customHeight="1" x14ac:dyDescent="0.45">
      <c r="B684" s="3"/>
    </row>
    <row r="685" spans="2:2" ht="14.25" customHeight="1" x14ac:dyDescent="0.45">
      <c r="B685" s="3"/>
    </row>
    <row r="686" spans="2:2" ht="14.25" customHeight="1" x14ac:dyDescent="0.45">
      <c r="B686" s="3"/>
    </row>
    <row r="687" spans="2:2" ht="14.25" customHeight="1" x14ac:dyDescent="0.45">
      <c r="B687" s="3"/>
    </row>
    <row r="688" spans="2:2" ht="14.25" customHeight="1" x14ac:dyDescent="0.45">
      <c r="B688" s="3"/>
    </row>
    <row r="689" spans="2:2" ht="14.25" customHeight="1" x14ac:dyDescent="0.45">
      <c r="B689" s="3"/>
    </row>
    <row r="690" spans="2:2" ht="14.25" customHeight="1" x14ac:dyDescent="0.45">
      <c r="B690" s="3"/>
    </row>
    <row r="691" spans="2:2" ht="14.25" customHeight="1" x14ac:dyDescent="0.45">
      <c r="B691" s="3"/>
    </row>
    <row r="692" spans="2:2" ht="14.25" customHeight="1" x14ac:dyDescent="0.45">
      <c r="B692" s="3"/>
    </row>
    <row r="693" spans="2:2" ht="14.25" customHeight="1" x14ac:dyDescent="0.45">
      <c r="B693" s="3"/>
    </row>
    <row r="694" spans="2:2" ht="14.25" customHeight="1" x14ac:dyDescent="0.45">
      <c r="B694" s="3"/>
    </row>
    <row r="695" spans="2:2" ht="14.25" customHeight="1" x14ac:dyDescent="0.45">
      <c r="B695" s="3"/>
    </row>
    <row r="696" spans="2:2" ht="14.25" customHeight="1" x14ac:dyDescent="0.45">
      <c r="B696" s="3"/>
    </row>
    <row r="697" spans="2:2" ht="14.25" customHeight="1" x14ac:dyDescent="0.45">
      <c r="B697" s="3"/>
    </row>
    <row r="698" spans="2:2" ht="14.25" customHeight="1" x14ac:dyDescent="0.45">
      <c r="B698" s="3"/>
    </row>
    <row r="699" spans="2:2" ht="14.25" customHeight="1" x14ac:dyDescent="0.45">
      <c r="B699" s="3"/>
    </row>
    <row r="700" spans="2:2" ht="14.25" customHeight="1" x14ac:dyDescent="0.45">
      <c r="B700" s="3"/>
    </row>
    <row r="701" spans="2:2" ht="14.25" customHeight="1" x14ac:dyDescent="0.45">
      <c r="B701" s="3"/>
    </row>
    <row r="702" spans="2:2" ht="14.25" customHeight="1" x14ac:dyDescent="0.45">
      <c r="B702" s="3"/>
    </row>
    <row r="703" spans="2:2" ht="14.25" customHeight="1" x14ac:dyDescent="0.45">
      <c r="B703" s="3"/>
    </row>
    <row r="704" spans="2:2" ht="14.25" customHeight="1" x14ac:dyDescent="0.45">
      <c r="B704" s="3"/>
    </row>
    <row r="705" spans="2:2" ht="14.25" customHeight="1" x14ac:dyDescent="0.45">
      <c r="B705" s="3"/>
    </row>
    <row r="706" spans="2:2" ht="14.25" customHeight="1" x14ac:dyDescent="0.45">
      <c r="B706" s="3"/>
    </row>
    <row r="707" spans="2:2" ht="14.25" customHeight="1" x14ac:dyDescent="0.45">
      <c r="B707" s="3"/>
    </row>
    <row r="708" spans="2:2" ht="14.25" customHeight="1" x14ac:dyDescent="0.45">
      <c r="B708" s="3"/>
    </row>
    <row r="709" spans="2:2" ht="14.25" customHeight="1" x14ac:dyDescent="0.45">
      <c r="B709" s="3"/>
    </row>
    <row r="710" spans="2:2" ht="14.25" customHeight="1" x14ac:dyDescent="0.45">
      <c r="B710" s="3"/>
    </row>
    <row r="711" spans="2:2" ht="14.25" customHeight="1" x14ac:dyDescent="0.45">
      <c r="B711" s="3"/>
    </row>
    <row r="712" spans="2:2" ht="14.25" customHeight="1" x14ac:dyDescent="0.45">
      <c r="B712" s="3"/>
    </row>
    <row r="713" spans="2:2" ht="14.25" customHeight="1" x14ac:dyDescent="0.45">
      <c r="B713" s="3"/>
    </row>
    <row r="714" spans="2:2" ht="14.25" customHeight="1" x14ac:dyDescent="0.45">
      <c r="B714" s="3"/>
    </row>
    <row r="715" spans="2:2" ht="14.25" customHeight="1" x14ac:dyDescent="0.45">
      <c r="B715" s="3"/>
    </row>
    <row r="716" spans="2:2" ht="14.25" customHeight="1" x14ac:dyDescent="0.45">
      <c r="B716" s="3"/>
    </row>
    <row r="717" spans="2:2" ht="14.25" customHeight="1" x14ac:dyDescent="0.45">
      <c r="B717" s="3"/>
    </row>
    <row r="718" spans="2:2" ht="14.25" customHeight="1" x14ac:dyDescent="0.45">
      <c r="B718" s="3"/>
    </row>
    <row r="719" spans="2:2" ht="14.25" customHeight="1" x14ac:dyDescent="0.45">
      <c r="B719" s="3"/>
    </row>
    <row r="720" spans="2:2" ht="14.25" customHeight="1" x14ac:dyDescent="0.45">
      <c r="B720" s="3"/>
    </row>
    <row r="721" spans="2:2" ht="14.25" customHeight="1" x14ac:dyDescent="0.45">
      <c r="B721" s="3"/>
    </row>
    <row r="722" spans="2:2" ht="14.25" customHeight="1" x14ac:dyDescent="0.45">
      <c r="B722" s="3"/>
    </row>
    <row r="723" spans="2:2" ht="14.25" customHeight="1" x14ac:dyDescent="0.45">
      <c r="B723" s="3"/>
    </row>
    <row r="724" spans="2:2" ht="14.25" customHeight="1" x14ac:dyDescent="0.45">
      <c r="B724" s="3"/>
    </row>
    <row r="725" spans="2:2" ht="14.25" customHeight="1" x14ac:dyDescent="0.45">
      <c r="B725" s="3"/>
    </row>
    <row r="726" spans="2:2" ht="14.25" customHeight="1" x14ac:dyDescent="0.45">
      <c r="B726" s="3"/>
    </row>
    <row r="727" spans="2:2" ht="14.25" customHeight="1" x14ac:dyDescent="0.45">
      <c r="B727" s="3"/>
    </row>
    <row r="728" spans="2:2" ht="14.25" customHeight="1" x14ac:dyDescent="0.45">
      <c r="B728" s="3"/>
    </row>
    <row r="729" spans="2:2" ht="14.25" customHeight="1" x14ac:dyDescent="0.45">
      <c r="B729" s="3"/>
    </row>
    <row r="730" spans="2:2" ht="14.25" customHeight="1" x14ac:dyDescent="0.45">
      <c r="B730" s="3"/>
    </row>
    <row r="731" spans="2:2" ht="14.25" customHeight="1" x14ac:dyDescent="0.45">
      <c r="B731" s="3"/>
    </row>
    <row r="732" spans="2:2" ht="14.25" customHeight="1" x14ac:dyDescent="0.45">
      <c r="B732" s="3"/>
    </row>
    <row r="733" spans="2:2" ht="14.25" customHeight="1" x14ac:dyDescent="0.45">
      <c r="B733" s="3"/>
    </row>
    <row r="734" spans="2:2" ht="14.25" customHeight="1" x14ac:dyDescent="0.45">
      <c r="B734" s="3"/>
    </row>
    <row r="735" spans="2:2" ht="14.25" customHeight="1" x14ac:dyDescent="0.45">
      <c r="B735" s="3"/>
    </row>
    <row r="736" spans="2:2" ht="14.25" customHeight="1" x14ac:dyDescent="0.45">
      <c r="B736" s="3"/>
    </row>
    <row r="737" spans="2:2" ht="14.25" customHeight="1" x14ac:dyDescent="0.45">
      <c r="B737" s="3"/>
    </row>
    <row r="738" spans="2:2" ht="14.25" customHeight="1" x14ac:dyDescent="0.45">
      <c r="B738" s="3"/>
    </row>
    <row r="739" spans="2:2" ht="14.25" customHeight="1" x14ac:dyDescent="0.45">
      <c r="B739" s="3"/>
    </row>
    <row r="740" spans="2:2" ht="14.25" customHeight="1" x14ac:dyDescent="0.45">
      <c r="B740" s="3"/>
    </row>
    <row r="741" spans="2:2" ht="14.25" customHeight="1" x14ac:dyDescent="0.45">
      <c r="B741" s="3"/>
    </row>
    <row r="742" spans="2:2" ht="14.25" customHeight="1" x14ac:dyDescent="0.45">
      <c r="B742" s="3"/>
    </row>
    <row r="743" spans="2:2" ht="14.25" customHeight="1" x14ac:dyDescent="0.45">
      <c r="B743" s="3"/>
    </row>
    <row r="744" spans="2:2" ht="14.25" customHeight="1" x14ac:dyDescent="0.45">
      <c r="B744" s="3"/>
    </row>
    <row r="745" spans="2:2" ht="14.25" customHeight="1" x14ac:dyDescent="0.45">
      <c r="B745" s="3"/>
    </row>
    <row r="746" spans="2:2" ht="14.25" customHeight="1" x14ac:dyDescent="0.45">
      <c r="B746" s="3"/>
    </row>
    <row r="747" spans="2:2" ht="14.25" customHeight="1" x14ac:dyDescent="0.45">
      <c r="B747" s="3"/>
    </row>
    <row r="748" spans="2:2" ht="14.25" customHeight="1" x14ac:dyDescent="0.45">
      <c r="B748" s="3"/>
    </row>
    <row r="749" spans="2:2" ht="14.25" customHeight="1" x14ac:dyDescent="0.45">
      <c r="B749" s="3"/>
    </row>
    <row r="750" spans="2:2" ht="14.25" customHeight="1" x14ac:dyDescent="0.45">
      <c r="B750" s="3"/>
    </row>
    <row r="751" spans="2:2" ht="14.25" customHeight="1" x14ac:dyDescent="0.45">
      <c r="B751" s="3"/>
    </row>
    <row r="752" spans="2:2" ht="14.25" customHeight="1" x14ac:dyDescent="0.45">
      <c r="B752" s="3"/>
    </row>
    <row r="753" spans="2:2" ht="14.25" customHeight="1" x14ac:dyDescent="0.45">
      <c r="B753" s="3"/>
    </row>
    <row r="754" spans="2:2" ht="14.25" customHeight="1" x14ac:dyDescent="0.45">
      <c r="B754" s="3"/>
    </row>
    <row r="755" spans="2:2" ht="14.25" customHeight="1" x14ac:dyDescent="0.45">
      <c r="B755" s="3"/>
    </row>
    <row r="756" spans="2:2" ht="14.25" customHeight="1" x14ac:dyDescent="0.45">
      <c r="B756" s="3"/>
    </row>
    <row r="757" spans="2:2" ht="14.25" customHeight="1" x14ac:dyDescent="0.45">
      <c r="B757" s="3"/>
    </row>
    <row r="758" spans="2:2" ht="14.25" customHeight="1" x14ac:dyDescent="0.45">
      <c r="B758" s="3"/>
    </row>
    <row r="759" spans="2:2" ht="14.25" customHeight="1" x14ac:dyDescent="0.45">
      <c r="B759" s="3"/>
    </row>
    <row r="760" spans="2:2" ht="14.25" customHeight="1" x14ac:dyDescent="0.45">
      <c r="B760" s="3"/>
    </row>
    <row r="761" spans="2:2" ht="14.25" customHeight="1" x14ac:dyDescent="0.45">
      <c r="B761" s="3"/>
    </row>
    <row r="762" spans="2:2" ht="14.25" customHeight="1" x14ac:dyDescent="0.45">
      <c r="B762" s="3"/>
    </row>
    <row r="763" spans="2:2" ht="14.25" customHeight="1" x14ac:dyDescent="0.45">
      <c r="B763" s="3"/>
    </row>
    <row r="764" spans="2:2" ht="14.25" customHeight="1" x14ac:dyDescent="0.45">
      <c r="B764" s="3"/>
    </row>
    <row r="765" spans="2:2" ht="14.25" customHeight="1" x14ac:dyDescent="0.45">
      <c r="B765" s="3"/>
    </row>
    <row r="766" spans="2:2" ht="14.25" customHeight="1" x14ac:dyDescent="0.45">
      <c r="B766" s="3"/>
    </row>
    <row r="767" spans="2:2" ht="14.25" customHeight="1" x14ac:dyDescent="0.45">
      <c r="B767" s="3"/>
    </row>
    <row r="768" spans="2:2" ht="14.25" customHeight="1" x14ac:dyDescent="0.45">
      <c r="B768" s="3"/>
    </row>
    <row r="769" spans="2:2" ht="14.25" customHeight="1" x14ac:dyDescent="0.45">
      <c r="B769" s="3"/>
    </row>
    <row r="770" spans="2:2" ht="14.25" customHeight="1" x14ac:dyDescent="0.45">
      <c r="B770" s="3"/>
    </row>
    <row r="771" spans="2:2" ht="14.25" customHeight="1" x14ac:dyDescent="0.45">
      <c r="B771" s="3"/>
    </row>
    <row r="772" spans="2:2" ht="14.25" customHeight="1" x14ac:dyDescent="0.45">
      <c r="B772" s="3"/>
    </row>
    <row r="773" spans="2:2" ht="14.25" customHeight="1" x14ac:dyDescent="0.45">
      <c r="B773" s="3"/>
    </row>
    <row r="774" spans="2:2" ht="14.25" customHeight="1" x14ac:dyDescent="0.45">
      <c r="B774" s="3"/>
    </row>
    <row r="775" spans="2:2" ht="14.25" customHeight="1" x14ac:dyDescent="0.45">
      <c r="B775" s="3"/>
    </row>
    <row r="776" spans="2:2" ht="14.25" customHeight="1" x14ac:dyDescent="0.45">
      <c r="B776" s="3"/>
    </row>
    <row r="777" spans="2:2" ht="14.25" customHeight="1" x14ac:dyDescent="0.45">
      <c r="B777" s="3"/>
    </row>
    <row r="778" spans="2:2" ht="14.25" customHeight="1" x14ac:dyDescent="0.45">
      <c r="B778" s="3"/>
    </row>
    <row r="779" spans="2:2" ht="14.25" customHeight="1" x14ac:dyDescent="0.45">
      <c r="B779" s="3"/>
    </row>
    <row r="780" spans="2:2" ht="14.25" customHeight="1" x14ac:dyDescent="0.45">
      <c r="B780" s="3"/>
    </row>
    <row r="781" spans="2:2" ht="14.25" customHeight="1" x14ac:dyDescent="0.45">
      <c r="B781" s="3"/>
    </row>
    <row r="782" spans="2:2" ht="14.25" customHeight="1" x14ac:dyDescent="0.45">
      <c r="B782" s="3"/>
    </row>
    <row r="783" spans="2:2" ht="14.25" customHeight="1" x14ac:dyDescent="0.45">
      <c r="B783" s="3"/>
    </row>
    <row r="784" spans="2:2" ht="14.25" customHeight="1" x14ac:dyDescent="0.45">
      <c r="B784" s="3"/>
    </row>
    <row r="785" spans="2:2" ht="14.25" customHeight="1" x14ac:dyDescent="0.45">
      <c r="B785" s="3"/>
    </row>
    <row r="786" spans="2:2" ht="14.25" customHeight="1" x14ac:dyDescent="0.45">
      <c r="B786" s="3"/>
    </row>
    <row r="787" spans="2:2" ht="14.25" customHeight="1" x14ac:dyDescent="0.45">
      <c r="B787" s="3"/>
    </row>
  </sheetData>
  <autoFilter ref="A1:I26" xr:uid="{00000000-0009-0000-0000-000002000000}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2"/>
  <sheetViews>
    <sheetView topLeftCell="B1" workbookViewId="0">
      <pane ySplit="1" topLeftCell="A2" activePane="bottomLeft" state="frozen"/>
      <selection pane="bottomLeft" activeCell="E37" sqref="E37"/>
    </sheetView>
  </sheetViews>
  <sheetFormatPr defaultColWidth="14.3984375" defaultRowHeight="15" customHeight="1" x14ac:dyDescent="0.45"/>
  <cols>
    <col min="1" max="1" width="27.53125" customWidth="1"/>
    <col min="2" max="2" width="17.3984375" customWidth="1"/>
    <col min="3" max="3" width="15.265625" customWidth="1"/>
    <col min="4" max="4" width="6.73046875" customWidth="1"/>
    <col min="5" max="5" width="13.73046875" customWidth="1"/>
    <col min="6" max="6" width="8.73046875" customWidth="1"/>
    <col min="7" max="7" width="12.86328125" customWidth="1"/>
    <col min="8" max="8" width="16.3984375" customWidth="1"/>
    <col min="9" max="19" width="8.73046875" customWidth="1"/>
  </cols>
  <sheetData>
    <row r="1" spans="1:8" ht="14.25" customHeight="1" x14ac:dyDescent="0.45">
      <c r="A1" s="2" t="s">
        <v>9</v>
      </c>
      <c r="B1" s="2" t="s">
        <v>14</v>
      </c>
      <c r="C1" s="2" t="s">
        <v>16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23</v>
      </c>
    </row>
    <row r="2" spans="1:8" ht="14.25" customHeight="1" x14ac:dyDescent="0.45">
      <c r="A2" s="2" t="s">
        <v>25</v>
      </c>
      <c r="B2" s="2" t="s">
        <v>26</v>
      </c>
      <c r="C2" s="2" t="s">
        <v>27</v>
      </c>
      <c r="D2" s="2" t="s">
        <v>28</v>
      </c>
      <c r="E2" s="7">
        <v>46023</v>
      </c>
      <c r="F2" s="10">
        <v>1933</v>
      </c>
      <c r="G2" s="13">
        <v>72.19</v>
      </c>
      <c r="H2" s="13">
        <f t="shared" ref="H2:H37" si="0">G2*F2</f>
        <v>139543.26999999999</v>
      </c>
    </row>
    <row r="3" spans="1:8" ht="14.25" customHeight="1" x14ac:dyDescent="0.45">
      <c r="A3" s="2" t="s">
        <v>29</v>
      </c>
      <c r="B3" s="2" t="s">
        <v>33</v>
      </c>
      <c r="C3" s="2" t="s">
        <v>34</v>
      </c>
      <c r="D3" s="2" t="s">
        <v>28</v>
      </c>
      <c r="E3" s="7">
        <v>43831</v>
      </c>
      <c r="F3" s="10">
        <v>20</v>
      </c>
      <c r="G3" s="13">
        <v>644.11</v>
      </c>
      <c r="H3" s="13">
        <f t="shared" si="0"/>
        <v>12882.2</v>
      </c>
    </row>
    <row r="4" spans="1:8" ht="14.25" customHeight="1" x14ac:dyDescent="0.45">
      <c r="A4" s="2" t="s">
        <v>29</v>
      </c>
      <c r="B4" s="2" t="s">
        <v>37</v>
      </c>
      <c r="C4" s="2" t="s">
        <v>38</v>
      </c>
      <c r="D4" s="2" t="s">
        <v>28</v>
      </c>
      <c r="E4" s="7">
        <v>43831</v>
      </c>
      <c r="F4" s="10">
        <v>40</v>
      </c>
      <c r="G4" s="13">
        <v>332.01</v>
      </c>
      <c r="H4" s="13">
        <f t="shared" si="0"/>
        <v>13280.4</v>
      </c>
    </row>
    <row r="5" spans="1:8" ht="14.25" customHeight="1" x14ac:dyDescent="0.45">
      <c r="A5" s="2" t="s">
        <v>29</v>
      </c>
      <c r="B5" s="2" t="s">
        <v>39</v>
      </c>
      <c r="C5" s="2" t="s">
        <v>40</v>
      </c>
      <c r="D5" s="2" t="s">
        <v>28</v>
      </c>
      <c r="E5" s="7">
        <v>43831</v>
      </c>
      <c r="F5" s="10">
        <v>150</v>
      </c>
      <c r="G5" s="13">
        <v>47.33</v>
      </c>
      <c r="H5" s="13">
        <f t="shared" si="0"/>
        <v>7099.5</v>
      </c>
    </row>
    <row r="6" spans="1:8" ht="14.25" customHeight="1" x14ac:dyDescent="0.45">
      <c r="A6" s="2" t="s">
        <v>29</v>
      </c>
      <c r="B6" s="2" t="s">
        <v>43</v>
      </c>
      <c r="C6" s="2" t="s">
        <v>44</v>
      </c>
      <c r="D6" s="2" t="s">
        <v>28</v>
      </c>
      <c r="E6" s="7">
        <v>43831</v>
      </c>
      <c r="F6" s="10">
        <v>400</v>
      </c>
      <c r="G6" s="13">
        <v>21.99</v>
      </c>
      <c r="H6" s="13">
        <f t="shared" si="0"/>
        <v>8796</v>
      </c>
    </row>
    <row r="7" spans="1:8" ht="14.25" customHeight="1" x14ac:dyDescent="0.45">
      <c r="A7" s="2" t="s">
        <v>29</v>
      </c>
      <c r="B7" s="2" t="s">
        <v>45</v>
      </c>
      <c r="C7" s="2" t="s">
        <v>46</v>
      </c>
      <c r="D7" s="2" t="s">
        <v>28</v>
      </c>
      <c r="E7" s="7">
        <v>43831</v>
      </c>
      <c r="F7" s="10">
        <v>1</v>
      </c>
      <c r="G7" s="13">
        <v>3420</v>
      </c>
      <c r="H7" s="13">
        <f t="shared" si="0"/>
        <v>3420</v>
      </c>
    </row>
    <row r="8" spans="1:8" ht="14.25" customHeight="1" x14ac:dyDescent="0.45">
      <c r="A8" s="2" t="s">
        <v>29</v>
      </c>
      <c r="B8" s="2" t="s">
        <v>48</v>
      </c>
      <c r="C8" s="2" t="s">
        <v>50</v>
      </c>
      <c r="D8" s="2" t="s">
        <v>28</v>
      </c>
      <c r="E8" s="7">
        <v>43831</v>
      </c>
      <c r="F8" s="10">
        <v>5</v>
      </c>
      <c r="G8" s="13">
        <v>1635</v>
      </c>
      <c r="H8" s="13">
        <f t="shared" si="0"/>
        <v>8175</v>
      </c>
    </row>
    <row r="9" spans="1:8" ht="14.25" customHeight="1" x14ac:dyDescent="0.45">
      <c r="A9" s="2" t="s">
        <v>29</v>
      </c>
      <c r="B9" s="2" t="s">
        <v>52</v>
      </c>
      <c r="C9" s="2" t="s">
        <v>53</v>
      </c>
      <c r="D9" s="2" t="s">
        <v>28</v>
      </c>
      <c r="E9" s="7">
        <v>43831</v>
      </c>
      <c r="F9" s="10">
        <v>340</v>
      </c>
      <c r="G9" s="13">
        <v>110.77</v>
      </c>
      <c r="H9" s="13">
        <f t="shared" si="0"/>
        <v>37661.799999999996</v>
      </c>
    </row>
    <row r="10" spans="1:8" ht="14.25" customHeight="1" x14ac:dyDescent="0.45">
      <c r="A10" s="2" t="s">
        <v>29</v>
      </c>
      <c r="B10" s="2" t="s">
        <v>54</v>
      </c>
      <c r="C10" s="2" t="s">
        <v>55</v>
      </c>
      <c r="D10" s="2" t="s">
        <v>28</v>
      </c>
      <c r="E10" s="7">
        <v>43831</v>
      </c>
      <c r="F10" s="10">
        <v>34</v>
      </c>
      <c r="G10" s="13">
        <v>579.98</v>
      </c>
      <c r="H10" s="13">
        <f t="shared" si="0"/>
        <v>19719.32</v>
      </c>
    </row>
    <row r="11" spans="1:8" ht="14.25" customHeight="1" x14ac:dyDescent="0.45">
      <c r="A11" s="2" t="s">
        <v>29</v>
      </c>
      <c r="B11" s="2" t="s">
        <v>56</v>
      </c>
      <c r="C11" s="2" t="s">
        <v>57</v>
      </c>
      <c r="D11" s="2" t="s">
        <v>28</v>
      </c>
      <c r="E11" s="7">
        <v>43831</v>
      </c>
      <c r="F11" s="10">
        <v>50</v>
      </c>
      <c r="G11" s="13">
        <v>639</v>
      </c>
      <c r="H11" s="13">
        <f t="shared" si="0"/>
        <v>31950</v>
      </c>
    </row>
    <row r="12" spans="1:8" ht="14.25" customHeight="1" x14ac:dyDescent="0.45">
      <c r="A12" s="2" t="s">
        <v>29</v>
      </c>
      <c r="B12" s="2" t="s">
        <v>58</v>
      </c>
      <c r="C12" s="2" t="s">
        <v>59</v>
      </c>
      <c r="D12" s="2" t="s">
        <v>28</v>
      </c>
      <c r="E12" s="7">
        <v>43831</v>
      </c>
      <c r="F12" s="10">
        <v>200</v>
      </c>
      <c r="G12" s="13">
        <v>155.4</v>
      </c>
      <c r="H12" s="13">
        <f t="shared" si="0"/>
        <v>31080</v>
      </c>
    </row>
    <row r="13" spans="1:8" ht="14.25" customHeight="1" x14ac:dyDescent="0.45">
      <c r="A13" s="2" t="s">
        <v>29</v>
      </c>
      <c r="B13" s="2" t="s">
        <v>62</v>
      </c>
      <c r="C13" s="2" t="s">
        <v>63</v>
      </c>
      <c r="D13" s="2" t="s">
        <v>28</v>
      </c>
      <c r="E13" s="7">
        <v>43831</v>
      </c>
      <c r="F13" s="10">
        <v>50</v>
      </c>
      <c r="G13" s="13">
        <v>180.33</v>
      </c>
      <c r="H13" s="13">
        <f t="shared" si="0"/>
        <v>9016.5</v>
      </c>
    </row>
    <row r="14" spans="1:8" ht="14.25" customHeight="1" x14ac:dyDescent="0.45">
      <c r="A14" s="2" t="s">
        <v>29</v>
      </c>
      <c r="B14" s="2" t="s">
        <v>64</v>
      </c>
      <c r="C14" s="2" t="s">
        <v>65</v>
      </c>
      <c r="D14" s="2" t="s">
        <v>28</v>
      </c>
      <c r="E14" s="7">
        <v>43831</v>
      </c>
      <c r="F14" s="10">
        <v>152</v>
      </c>
      <c r="G14" s="13">
        <v>255.36</v>
      </c>
      <c r="H14" s="13">
        <f t="shared" si="0"/>
        <v>38814.720000000001</v>
      </c>
    </row>
    <row r="15" spans="1:8" ht="14.25" customHeight="1" x14ac:dyDescent="0.45">
      <c r="A15" s="2" t="s">
        <v>29</v>
      </c>
      <c r="B15" s="2" t="s">
        <v>66</v>
      </c>
      <c r="C15" s="2" t="s">
        <v>67</v>
      </c>
      <c r="D15" s="2" t="s">
        <v>28</v>
      </c>
      <c r="E15" s="7">
        <v>43831</v>
      </c>
      <c r="F15" s="10">
        <v>8</v>
      </c>
      <c r="G15" s="13">
        <v>44.77</v>
      </c>
      <c r="H15" s="13">
        <f t="shared" si="0"/>
        <v>358.16</v>
      </c>
    </row>
    <row r="16" spans="1:8" ht="14.25" customHeight="1" x14ac:dyDescent="0.45">
      <c r="A16" s="2" t="s">
        <v>29</v>
      </c>
      <c r="B16" s="2" t="s">
        <v>69</v>
      </c>
      <c r="C16" s="2" t="s">
        <v>70</v>
      </c>
      <c r="D16" s="2" t="s">
        <v>28</v>
      </c>
      <c r="E16" s="7">
        <v>43831</v>
      </c>
      <c r="F16" s="10">
        <v>105</v>
      </c>
      <c r="G16" s="13">
        <v>12.21</v>
      </c>
      <c r="H16" s="13">
        <f t="shared" si="0"/>
        <v>1282.0500000000002</v>
      </c>
    </row>
    <row r="17" spans="1:8" ht="14.25" customHeight="1" x14ac:dyDescent="0.45">
      <c r="A17" s="2" t="s">
        <v>29</v>
      </c>
      <c r="B17" s="2" t="s">
        <v>71</v>
      </c>
      <c r="C17" s="2" t="s">
        <v>72</v>
      </c>
      <c r="D17" s="2" t="s">
        <v>28</v>
      </c>
      <c r="E17" s="7">
        <v>43831</v>
      </c>
      <c r="F17" s="10">
        <v>10</v>
      </c>
      <c r="G17" s="13">
        <v>849.8</v>
      </c>
      <c r="H17" s="13">
        <f t="shared" si="0"/>
        <v>8498</v>
      </c>
    </row>
    <row r="18" spans="1:8" ht="14.25" customHeight="1" x14ac:dyDescent="0.45">
      <c r="A18" s="2" t="s">
        <v>29</v>
      </c>
      <c r="B18" s="2" t="s">
        <v>75</v>
      </c>
      <c r="C18" s="2" t="s">
        <v>76</v>
      </c>
      <c r="D18" s="2" t="s">
        <v>28</v>
      </c>
      <c r="E18" s="7">
        <v>43831</v>
      </c>
      <c r="F18" s="10">
        <v>200</v>
      </c>
      <c r="G18" s="13">
        <v>163.18</v>
      </c>
      <c r="H18" s="13">
        <f t="shared" si="0"/>
        <v>32636</v>
      </c>
    </row>
    <row r="19" spans="1:8" ht="14.25" customHeight="1" x14ac:dyDescent="0.45">
      <c r="A19" s="2" t="s">
        <v>29</v>
      </c>
      <c r="B19" s="2" t="s">
        <v>77</v>
      </c>
      <c r="C19" s="2" t="s">
        <v>78</v>
      </c>
      <c r="D19" s="2" t="s">
        <v>28</v>
      </c>
      <c r="E19" s="7">
        <v>43831</v>
      </c>
      <c r="F19" s="10">
        <v>1000</v>
      </c>
      <c r="G19" s="13">
        <v>95.59</v>
      </c>
      <c r="H19" s="13">
        <f t="shared" si="0"/>
        <v>95590</v>
      </c>
    </row>
    <row r="20" spans="1:8" ht="14.25" customHeight="1" x14ac:dyDescent="0.45">
      <c r="A20" s="2" t="s">
        <v>29</v>
      </c>
      <c r="B20" s="2" t="s">
        <v>79</v>
      </c>
      <c r="C20" s="2" t="s">
        <v>80</v>
      </c>
      <c r="D20" s="2" t="s">
        <v>28</v>
      </c>
      <c r="E20" s="7">
        <v>43831</v>
      </c>
      <c r="F20" s="10">
        <v>200</v>
      </c>
      <c r="G20" s="13">
        <v>172</v>
      </c>
      <c r="H20" s="13">
        <f t="shared" si="0"/>
        <v>34400</v>
      </c>
    </row>
    <row r="21" spans="1:8" ht="14.25" customHeight="1" x14ac:dyDescent="0.45">
      <c r="A21" s="2" t="s">
        <v>29</v>
      </c>
      <c r="B21" s="2" t="s">
        <v>81</v>
      </c>
      <c r="C21" s="2" t="s">
        <v>82</v>
      </c>
      <c r="D21" s="2" t="s">
        <v>28</v>
      </c>
      <c r="E21" s="7">
        <v>43831</v>
      </c>
      <c r="F21" s="10">
        <v>10</v>
      </c>
      <c r="G21" s="13">
        <v>445</v>
      </c>
      <c r="H21" s="13">
        <f t="shared" si="0"/>
        <v>4450</v>
      </c>
    </row>
    <row r="22" spans="1:8" ht="14.25" customHeight="1" x14ac:dyDescent="0.45">
      <c r="A22" s="2" t="s">
        <v>29</v>
      </c>
      <c r="B22" s="2" t="s">
        <v>83</v>
      </c>
      <c r="C22" s="2" t="s">
        <v>84</v>
      </c>
      <c r="D22" s="2" t="s">
        <v>28</v>
      </c>
      <c r="E22" s="7">
        <v>43831</v>
      </c>
      <c r="F22" s="10">
        <v>1000</v>
      </c>
      <c r="G22" s="13">
        <v>4.9000000000000004</v>
      </c>
      <c r="H22" s="13">
        <f t="shared" si="0"/>
        <v>4900</v>
      </c>
    </row>
    <row r="23" spans="1:8" ht="14.25" customHeight="1" x14ac:dyDescent="0.45">
      <c r="A23" s="2" t="s">
        <v>29</v>
      </c>
      <c r="B23" s="2" t="s">
        <v>85</v>
      </c>
      <c r="C23" s="2" t="s">
        <v>86</v>
      </c>
      <c r="D23" s="2" t="s">
        <v>28</v>
      </c>
      <c r="E23" s="7">
        <v>43831</v>
      </c>
      <c r="F23" s="10">
        <v>100</v>
      </c>
      <c r="G23" s="13">
        <v>98</v>
      </c>
      <c r="H23" s="13">
        <f t="shared" si="0"/>
        <v>9800</v>
      </c>
    </row>
    <row r="24" spans="1:8" ht="14.25" customHeight="1" x14ac:dyDescent="0.45">
      <c r="A24" s="2" t="s">
        <v>29</v>
      </c>
      <c r="B24" s="2" t="s">
        <v>87</v>
      </c>
      <c r="C24" s="2" t="s">
        <v>88</v>
      </c>
      <c r="D24" s="2" t="s">
        <v>28</v>
      </c>
      <c r="E24" s="7">
        <v>43831</v>
      </c>
      <c r="F24" s="10">
        <v>25</v>
      </c>
      <c r="G24" s="13">
        <v>98.43</v>
      </c>
      <c r="H24" s="13">
        <f t="shared" si="0"/>
        <v>2460.75</v>
      </c>
    </row>
    <row r="25" spans="1:8" ht="14.25" customHeight="1" x14ac:dyDescent="0.45">
      <c r="A25" s="2" t="s">
        <v>29</v>
      </c>
      <c r="B25" s="2" t="s">
        <v>89</v>
      </c>
      <c r="C25" s="2" t="s">
        <v>90</v>
      </c>
      <c r="D25" s="2" t="s">
        <v>28</v>
      </c>
      <c r="E25" s="7">
        <v>43831</v>
      </c>
      <c r="F25" s="10">
        <v>25</v>
      </c>
      <c r="G25" s="13">
        <v>217.57</v>
      </c>
      <c r="H25" s="13">
        <f t="shared" si="0"/>
        <v>5439.25</v>
      </c>
    </row>
    <row r="26" spans="1:8" ht="14.25" customHeight="1" x14ac:dyDescent="0.45">
      <c r="A26" s="2" t="s">
        <v>29</v>
      </c>
      <c r="B26" s="2" t="s">
        <v>91</v>
      </c>
      <c r="C26" s="2" t="s">
        <v>92</v>
      </c>
      <c r="D26" s="2" t="s">
        <v>28</v>
      </c>
      <c r="E26" s="7">
        <v>43831</v>
      </c>
      <c r="F26" s="10">
        <v>100</v>
      </c>
      <c r="G26" s="13">
        <v>19.510000000000002</v>
      </c>
      <c r="H26" s="13">
        <f t="shared" si="0"/>
        <v>1951.0000000000002</v>
      </c>
    </row>
    <row r="27" spans="1:8" ht="14.25" customHeight="1" x14ac:dyDescent="0.45">
      <c r="A27" s="2" t="s">
        <v>29</v>
      </c>
      <c r="B27" s="2" t="s">
        <v>93</v>
      </c>
      <c r="C27" s="2" t="s">
        <v>94</v>
      </c>
      <c r="D27" s="2" t="s">
        <v>28</v>
      </c>
      <c r="E27" s="7">
        <v>43831</v>
      </c>
      <c r="F27" s="10">
        <v>100</v>
      </c>
      <c r="G27" s="13">
        <v>272.89999999999998</v>
      </c>
      <c r="H27" s="13">
        <f t="shared" si="0"/>
        <v>27289.999999999996</v>
      </c>
    </row>
    <row r="28" spans="1:8" ht="14.25" customHeight="1" x14ac:dyDescent="0.45">
      <c r="A28" s="2" t="s">
        <v>29</v>
      </c>
      <c r="B28" s="2" t="s">
        <v>95</v>
      </c>
      <c r="C28" s="2" t="s">
        <v>96</v>
      </c>
      <c r="D28" s="2" t="s">
        <v>28</v>
      </c>
      <c r="E28" s="7">
        <v>43831</v>
      </c>
      <c r="F28" s="10">
        <v>100</v>
      </c>
      <c r="G28" s="13">
        <v>33.380000000000003</v>
      </c>
      <c r="H28" s="13">
        <f t="shared" si="0"/>
        <v>3338.0000000000005</v>
      </c>
    </row>
    <row r="29" spans="1:8" ht="14.25" customHeight="1" x14ac:dyDescent="0.45">
      <c r="A29" s="2" t="s">
        <v>29</v>
      </c>
      <c r="B29" s="2" t="s">
        <v>97</v>
      </c>
      <c r="C29" s="2" t="s">
        <v>98</v>
      </c>
      <c r="D29" s="2" t="s">
        <v>28</v>
      </c>
      <c r="E29" s="7">
        <v>43831</v>
      </c>
      <c r="F29" s="10">
        <v>100</v>
      </c>
      <c r="G29" s="13">
        <v>18.53</v>
      </c>
      <c r="H29" s="13">
        <f t="shared" si="0"/>
        <v>1853</v>
      </c>
    </row>
    <row r="30" spans="1:8" ht="14.25" customHeight="1" x14ac:dyDescent="0.45">
      <c r="A30" s="2" t="s">
        <v>29</v>
      </c>
      <c r="B30" s="2" t="s">
        <v>99</v>
      </c>
      <c r="C30" s="2" t="s">
        <v>100</v>
      </c>
      <c r="D30" s="2" t="s">
        <v>28</v>
      </c>
      <c r="E30" s="7">
        <v>43831</v>
      </c>
      <c r="F30" s="10">
        <v>100</v>
      </c>
      <c r="G30" s="13">
        <v>58.65</v>
      </c>
      <c r="H30" s="13">
        <f t="shared" si="0"/>
        <v>5865</v>
      </c>
    </row>
    <row r="31" spans="1:8" ht="14.25" customHeight="1" x14ac:dyDescent="0.45">
      <c r="A31" s="2" t="s">
        <v>29</v>
      </c>
      <c r="B31" s="2" t="s">
        <v>101</v>
      </c>
      <c r="C31" s="2" t="s">
        <v>102</v>
      </c>
      <c r="D31" s="2" t="s">
        <v>28</v>
      </c>
      <c r="E31" s="7">
        <v>43831</v>
      </c>
      <c r="F31" s="10">
        <v>100</v>
      </c>
      <c r="G31" s="13">
        <v>93</v>
      </c>
      <c r="H31" s="13">
        <f t="shared" si="0"/>
        <v>9300</v>
      </c>
    </row>
    <row r="32" spans="1:8" ht="14.25" customHeight="1" x14ac:dyDescent="0.45">
      <c r="A32" s="2" t="s">
        <v>29</v>
      </c>
      <c r="B32" s="20" t="s">
        <v>103</v>
      </c>
      <c r="C32" s="2" t="s">
        <v>104</v>
      </c>
      <c r="D32" s="2" t="s">
        <v>28</v>
      </c>
      <c r="E32" s="7">
        <v>43831</v>
      </c>
      <c r="F32" s="10">
        <v>3358</v>
      </c>
      <c r="G32" s="13">
        <v>23.9</v>
      </c>
      <c r="H32" s="13">
        <f t="shared" si="0"/>
        <v>80256.2</v>
      </c>
    </row>
    <row r="33" spans="1:8" ht="14.25" customHeight="1" x14ac:dyDescent="0.45">
      <c r="A33" s="2" t="s">
        <v>29</v>
      </c>
      <c r="B33" s="2" t="s">
        <v>105</v>
      </c>
      <c r="C33" s="2" t="s">
        <v>106</v>
      </c>
      <c r="D33" s="2" t="s">
        <v>28</v>
      </c>
      <c r="E33" s="7">
        <v>43831</v>
      </c>
      <c r="F33" s="10">
        <v>1</v>
      </c>
      <c r="G33" s="13">
        <v>584.1</v>
      </c>
      <c r="H33" s="13">
        <f t="shared" si="0"/>
        <v>584.1</v>
      </c>
    </row>
    <row r="34" spans="1:8" ht="14.25" customHeight="1" x14ac:dyDescent="0.45">
      <c r="A34" s="2" t="s">
        <v>51</v>
      </c>
      <c r="B34" s="2" t="s">
        <v>64</v>
      </c>
      <c r="C34" s="2" t="s">
        <v>65</v>
      </c>
      <c r="D34" s="2" t="s">
        <v>28</v>
      </c>
      <c r="E34" s="7">
        <v>43831</v>
      </c>
      <c r="F34" s="10">
        <v>500</v>
      </c>
      <c r="G34" s="13">
        <v>330</v>
      </c>
      <c r="H34" s="13">
        <f t="shared" si="0"/>
        <v>165000</v>
      </c>
    </row>
    <row r="35" spans="1:8" ht="14.25" customHeight="1" x14ac:dyDescent="0.45">
      <c r="A35" s="2" t="s">
        <v>51</v>
      </c>
      <c r="B35" s="2" t="s">
        <v>107</v>
      </c>
      <c r="C35" s="2" t="s">
        <v>108</v>
      </c>
      <c r="D35" s="2" t="s">
        <v>28</v>
      </c>
      <c r="E35" s="7">
        <v>43831</v>
      </c>
      <c r="F35" s="2">
        <v>84</v>
      </c>
      <c r="G35" s="2">
        <v>5890</v>
      </c>
      <c r="H35" s="13">
        <f t="shared" si="0"/>
        <v>494760</v>
      </c>
    </row>
    <row r="36" spans="1:8" ht="14.25" customHeight="1" x14ac:dyDescent="0.45">
      <c r="A36" s="2" t="s">
        <v>29</v>
      </c>
      <c r="B36" s="2" t="s">
        <v>109</v>
      </c>
      <c r="C36" s="2" t="s">
        <v>110</v>
      </c>
      <c r="D36" s="2" t="s">
        <v>28</v>
      </c>
      <c r="E36" s="7">
        <v>43831</v>
      </c>
      <c r="F36" s="2">
        <v>2</v>
      </c>
      <c r="G36" s="2">
        <v>4612</v>
      </c>
      <c r="H36" s="2">
        <f t="shared" si="0"/>
        <v>9224</v>
      </c>
    </row>
    <row r="37" spans="1:8" ht="14.25" customHeight="1" x14ac:dyDescent="0.45">
      <c r="A37" s="2" t="s">
        <v>60</v>
      </c>
      <c r="B37" s="2" t="s">
        <v>152</v>
      </c>
      <c r="C37" s="2" t="s">
        <v>147</v>
      </c>
      <c r="D37" s="2" t="s">
        <v>28</v>
      </c>
      <c r="E37" s="7">
        <v>46252</v>
      </c>
      <c r="F37" s="2">
        <v>775</v>
      </c>
      <c r="G37" s="2">
        <v>126.61</v>
      </c>
      <c r="H37" s="2">
        <f t="shared" si="0"/>
        <v>98122.75</v>
      </c>
    </row>
    <row r="38" spans="1:8" ht="14.25" customHeight="1" x14ac:dyDescent="0.45"/>
    <row r="39" spans="1:8" ht="14.25" customHeight="1" x14ac:dyDescent="0.45"/>
    <row r="40" spans="1:8" ht="14.25" customHeight="1" x14ac:dyDescent="0.45"/>
    <row r="41" spans="1:8" ht="14.25" customHeight="1" x14ac:dyDescent="0.45"/>
    <row r="42" spans="1:8" ht="14.25" customHeight="1" x14ac:dyDescent="0.45"/>
    <row r="43" spans="1:8" ht="14.25" customHeight="1" x14ac:dyDescent="0.45"/>
    <row r="44" spans="1:8" ht="14.25" customHeight="1" x14ac:dyDescent="0.45"/>
    <row r="45" spans="1:8" ht="14.25" customHeight="1" x14ac:dyDescent="0.45"/>
    <row r="46" spans="1:8" ht="14.25" customHeight="1" x14ac:dyDescent="0.45"/>
    <row r="47" spans="1:8" ht="14.25" customHeight="1" x14ac:dyDescent="0.45"/>
    <row r="48" spans="1: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  <row r="1002" ht="14.25" customHeight="1" x14ac:dyDescent="0.45"/>
  </sheetData>
  <autoFilter ref="A1:H37" xr:uid="{00000000-0009-0000-0000-000003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FD</vt:lpstr>
      <vt:lpstr>MF</vt:lpstr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ZM-TDL058</cp:lastModifiedBy>
  <dcterms:created xsi:type="dcterms:W3CDTF">2026-09-01T03:07:45Z</dcterms:created>
  <dcterms:modified xsi:type="dcterms:W3CDTF">2026-09-21T01:51:18Z</dcterms:modified>
</cp:coreProperties>
</file>