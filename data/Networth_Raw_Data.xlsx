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0FC7D719-64A1-4137-BEDE-8691FF94E709}" xr6:coauthVersionLast="47" xr6:coauthVersionMax="47" xr10:uidLastSave="{00000000-0000-0000-0000-000000000000}"/>
  <bookViews>
    <workbookView xWindow="43080" yWindow="-120" windowWidth="29040" windowHeight="15720" activeTab="2" xr2:uid="{00000000-000D-0000-FFFF-FFFF00000000}"/>
  </bookViews>
  <sheets>
    <sheet name="FD" sheetId="2" r:id="rId1"/>
    <sheet name="MF" sheetId="3" r:id="rId2"/>
    <sheet name="Stocks" sheetId="4" r:id="rId3"/>
    <sheet name="MF_PERFORMANCE" sheetId="5" r:id="rId4"/>
  </sheets>
  <definedNames>
    <definedName name="_xlnm._FilterDatabase" localSheetId="0" hidden="1">FD!$A$1:$L$26</definedName>
    <definedName name="_xlnm._FilterDatabase" localSheetId="1" hidden="1">MF!$A$1:$I$297</definedName>
    <definedName name="_xlnm._FilterDatabase" localSheetId="2" hidden="1">Stocks!$A$1:$H$36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7" i="3" l="1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37" i="4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L25" i="2"/>
  <c r="L24" i="2"/>
  <c r="L23" i="2"/>
  <c r="L22" i="2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J50" i="5"/>
  <c r="G50" i="5"/>
  <c r="J49" i="5"/>
  <c r="G49" i="5"/>
  <c r="E49" i="5"/>
  <c r="D49" i="5"/>
  <c r="C49" i="5"/>
  <c r="B49" i="5"/>
  <c r="J48" i="5"/>
  <c r="G48" i="5"/>
  <c r="E48" i="5"/>
  <c r="D48" i="5"/>
  <c r="C48" i="5"/>
  <c r="B48" i="5"/>
  <c r="J47" i="5"/>
  <c r="G47" i="5"/>
  <c r="E47" i="5"/>
  <c r="D47" i="5"/>
  <c r="C47" i="5"/>
  <c r="B47" i="5"/>
  <c r="J46" i="5"/>
  <c r="G46" i="5"/>
  <c r="E46" i="5"/>
  <c r="D46" i="5"/>
  <c r="C46" i="5"/>
  <c r="B46" i="5"/>
  <c r="J45" i="5"/>
  <c r="G45" i="5"/>
  <c r="E45" i="5"/>
  <c r="D45" i="5"/>
  <c r="C45" i="5"/>
  <c r="B45" i="5"/>
  <c r="J44" i="5"/>
  <c r="G44" i="5"/>
  <c r="E44" i="5"/>
  <c r="D44" i="5"/>
  <c r="C44" i="5"/>
  <c r="B44" i="5"/>
  <c r="J43" i="5"/>
  <c r="G43" i="5"/>
  <c r="E43" i="5"/>
  <c r="D43" i="5"/>
  <c r="C43" i="5"/>
  <c r="B43" i="5"/>
  <c r="J42" i="5"/>
  <c r="G42" i="5"/>
  <c r="E42" i="5"/>
  <c r="D42" i="5"/>
  <c r="C42" i="5"/>
  <c r="B42" i="5"/>
  <c r="J41" i="5"/>
  <c r="G41" i="5"/>
  <c r="E41" i="5"/>
  <c r="D41" i="5"/>
  <c r="C41" i="5"/>
  <c r="B41" i="5"/>
  <c r="J40" i="5"/>
  <c r="G40" i="5"/>
  <c r="E40" i="5"/>
  <c r="D40" i="5"/>
  <c r="C40" i="5"/>
  <c r="B40" i="5"/>
  <c r="J39" i="5"/>
  <c r="G39" i="5"/>
  <c r="E39" i="5"/>
  <c r="D39" i="5"/>
  <c r="C39" i="5"/>
  <c r="B39" i="5"/>
  <c r="J38" i="5"/>
  <c r="G38" i="5"/>
  <c r="E38" i="5"/>
  <c r="D38" i="5"/>
  <c r="C38" i="5"/>
  <c r="B38" i="5"/>
  <c r="J37" i="5"/>
  <c r="G37" i="5"/>
  <c r="E37" i="5"/>
  <c r="D37" i="5"/>
  <c r="C37" i="5"/>
  <c r="B37" i="5"/>
  <c r="J36" i="5"/>
  <c r="G36" i="5"/>
  <c r="E36" i="5"/>
  <c r="D36" i="5"/>
  <c r="C36" i="5"/>
  <c r="B36" i="5"/>
  <c r="J35" i="5"/>
  <c r="G35" i="5"/>
  <c r="E35" i="5"/>
  <c r="D35" i="5"/>
  <c r="C35" i="5"/>
  <c r="B35" i="5"/>
  <c r="J34" i="5"/>
  <c r="G34" i="5"/>
  <c r="E34" i="5"/>
  <c r="D34" i="5"/>
  <c r="C34" i="5"/>
  <c r="B34" i="5"/>
  <c r="J33" i="5"/>
  <c r="G33" i="5"/>
  <c r="E33" i="5"/>
  <c r="D33" i="5"/>
  <c r="C33" i="5"/>
  <c r="B33" i="5"/>
  <c r="J32" i="5"/>
  <c r="G32" i="5"/>
  <c r="E32" i="5"/>
  <c r="D32" i="5"/>
  <c r="C32" i="5"/>
  <c r="B32" i="5"/>
  <c r="J31" i="5"/>
  <c r="G31" i="5"/>
  <c r="E31" i="5"/>
  <c r="D31" i="5"/>
  <c r="C31" i="5"/>
  <c r="B31" i="5"/>
  <c r="E30" i="5"/>
  <c r="D30" i="5"/>
  <c r="C30" i="5"/>
  <c r="B30" i="5"/>
  <c r="E27" i="5"/>
  <c r="D27" i="5"/>
  <c r="C27" i="5"/>
  <c r="B27" i="5"/>
  <c r="A27" i="5"/>
  <c r="E26" i="5"/>
  <c r="D26" i="5"/>
  <c r="C26" i="5"/>
  <c r="B26" i="5"/>
  <c r="A26" i="5"/>
  <c r="E25" i="5"/>
  <c r="D25" i="5"/>
  <c r="C25" i="5"/>
  <c r="B25" i="5"/>
  <c r="A25" i="5"/>
  <c r="E24" i="5"/>
  <c r="D24" i="5"/>
  <c r="C24" i="5"/>
  <c r="B24" i="5"/>
  <c r="A24" i="5"/>
  <c r="E23" i="5"/>
  <c r="D23" i="5"/>
  <c r="C23" i="5"/>
  <c r="B23" i="5"/>
  <c r="A23" i="5"/>
  <c r="E22" i="5"/>
  <c r="D22" i="5"/>
  <c r="C22" i="5"/>
  <c r="B22" i="5"/>
  <c r="A22" i="5"/>
  <c r="E21" i="5"/>
  <c r="D21" i="5"/>
  <c r="C21" i="5"/>
  <c r="B21" i="5"/>
  <c r="A21" i="5"/>
  <c r="E20" i="5"/>
  <c r="D20" i="5"/>
  <c r="C20" i="5"/>
  <c r="B20" i="5"/>
  <c r="A20" i="5"/>
  <c r="E19" i="5"/>
  <c r="D19" i="5"/>
  <c r="C19" i="5"/>
  <c r="B19" i="5"/>
  <c r="A19" i="5"/>
  <c r="E18" i="5"/>
  <c r="D18" i="5"/>
  <c r="C18" i="5"/>
  <c r="B18" i="5"/>
  <c r="A18" i="5"/>
  <c r="E17" i="5"/>
  <c r="D17" i="5"/>
  <c r="C17" i="5"/>
  <c r="B17" i="5"/>
  <c r="A17" i="5"/>
  <c r="E16" i="5"/>
  <c r="D16" i="5"/>
  <c r="C16" i="5"/>
  <c r="B16" i="5"/>
  <c r="A16" i="5"/>
  <c r="E15" i="5"/>
  <c r="D15" i="5"/>
  <c r="C15" i="5"/>
  <c r="B15" i="5"/>
  <c r="A15" i="5"/>
  <c r="E14" i="5"/>
  <c r="D14" i="5"/>
  <c r="C14" i="5"/>
  <c r="B14" i="5"/>
  <c r="A14" i="5"/>
  <c r="E13" i="5"/>
  <c r="D13" i="5"/>
  <c r="C13" i="5"/>
  <c r="B13" i="5"/>
  <c r="A13" i="5"/>
  <c r="E12" i="5"/>
  <c r="D12" i="5"/>
  <c r="C12" i="5"/>
  <c r="B12" i="5"/>
  <c r="A12" i="5"/>
  <c r="E11" i="5"/>
  <c r="D11" i="5"/>
  <c r="C11" i="5"/>
  <c r="B11" i="5"/>
  <c r="A11" i="5"/>
  <c r="E10" i="5"/>
  <c r="D10" i="5"/>
  <c r="C10" i="5"/>
  <c r="B10" i="5"/>
  <c r="A10" i="5"/>
  <c r="E9" i="5"/>
  <c r="D9" i="5"/>
  <c r="C9" i="5"/>
  <c r="B9" i="5"/>
  <c r="A9" i="5"/>
  <c r="E8" i="5"/>
  <c r="D8" i="5"/>
  <c r="C8" i="5"/>
  <c r="B8" i="5"/>
  <c r="A8" i="5"/>
  <c r="E7" i="5"/>
  <c r="D7" i="5"/>
  <c r="C7" i="5"/>
  <c r="B7" i="5"/>
  <c r="A7" i="5"/>
  <c r="D4" i="5"/>
  <c r="C4" i="5"/>
  <c r="B4" i="5"/>
  <c r="A4" i="5"/>
  <c r="D3" i="5"/>
  <c r="C3" i="5"/>
  <c r="B3" i="5"/>
  <c r="A3" i="5"/>
  <c r="D2" i="5"/>
  <c r="C2" i="5"/>
  <c r="B2" i="5"/>
  <c r="A2" i="5"/>
  <c r="D1" i="5"/>
  <c r="C1" i="5"/>
  <c r="B1" i="5"/>
  <c r="A1" i="5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B35" i="2"/>
  <c r="B34" i="2"/>
  <c r="B33" i="2"/>
  <c r="B32" i="2"/>
  <c r="B31" i="2"/>
  <c r="B30" i="2"/>
  <c r="B29" i="2"/>
  <c r="B28" i="2"/>
  <c r="F13" i="5" l="1"/>
  <c r="H38" i="5"/>
  <c r="E2" i="5"/>
  <c r="H33" i="5"/>
  <c r="F33" i="5"/>
  <c r="I33" i="5" s="1"/>
  <c r="F14" i="5"/>
  <c r="H35" i="5"/>
  <c r="F36" i="5"/>
  <c r="I36" i="5" s="1"/>
  <c r="F46" i="5"/>
  <c r="I46" i="5" s="1"/>
  <c r="F47" i="5"/>
  <c r="I47" i="5" s="1"/>
  <c r="F34" i="5"/>
  <c r="I34" i="5" s="1"/>
  <c r="F37" i="5"/>
  <c r="I37" i="5" s="1"/>
  <c r="F20" i="5"/>
  <c r="H34" i="5"/>
  <c r="F26" i="5"/>
  <c r="F35" i="5"/>
  <c r="I35" i="5" s="1"/>
  <c r="H32" i="5"/>
  <c r="F39" i="5"/>
  <c r="I39" i="5" s="1"/>
  <c r="F15" i="5"/>
  <c r="F19" i="5"/>
  <c r="F23" i="5"/>
  <c r="H36" i="5"/>
  <c r="F32" i="5"/>
  <c r="I32" i="5" s="1"/>
  <c r="F8" i="5"/>
  <c r="F25" i="5"/>
  <c r="F44" i="5"/>
  <c r="I44" i="5" s="1"/>
  <c r="E50" i="5"/>
  <c r="F11" i="5"/>
  <c r="F48" i="5"/>
  <c r="I48" i="5" s="1"/>
  <c r="H48" i="5"/>
  <c r="F27" i="5"/>
  <c r="F24" i="5"/>
  <c r="F49" i="5"/>
  <c r="I49" i="5" s="1"/>
  <c r="F43" i="5"/>
  <c r="I43" i="5" s="1"/>
  <c r="F9" i="5"/>
  <c r="H46" i="5"/>
  <c r="F16" i="5"/>
  <c r="F21" i="5"/>
  <c r="F31" i="5"/>
  <c r="I31" i="5" s="1"/>
  <c r="H47" i="5"/>
  <c r="E4" i="5"/>
  <c r="F10" i="5"/>
  <c r="F41" i="5"/>
  <c r="I41" i="5" s="1"/>
  <c r="F18" i="5"/>
  <c r="H42" i="5"/>
  <c r="H44" i="5"/>
  <c r="F40" i="5"/>
  <c r="I40" i="5" s="1"/>
  <c r="H40" i="5"/>
  <c r="H43" i="5"/>
  <c r="F38" i="5"/>
  <c r="I38" i="5" s="1"/>
  <c r="D50" i="5"/>
  <c r="C50" i="5"/>
  <c r="K32" i="5" s="1"/>
  <c r="F17" i="5"/>
  <c r="F42" i="5"/>
  <c r="I42" i="5" s="1"/>
  <c r="F22" i="5"/>
  <c r="H31" i="5"/>
  <c r="F12" i="5"/>
  <c r="E3" i="5"/>
  <c r="H37" i="5"/>
  <c r="H39" i="5"/>
  <c r="H41" i="5"/>
  <c r="H45" i="5"/>
  <c r="H49" i="5"/>
  <c r="F45" i="5"/>
  <c r="I45" i="5" s="1"/>
  <c r="L35" i="5" l="1"/>
  <c r="K45" i="5"/>
  <c r="L37" i="5"/>
  <c r="K44" i="5"/>
  <c r="L44" i="5"/>
  <c r="L46" i="5"/>
  <c r="K33" i="5"/>
  <c r="L45" i="5"/>
  <c r="L48" i="5"/>
  <c r="L39" i="5"/>
  <c r="K50" i="5"/>
  <c r="K46" i="5"/>
  <c r="L50" i="5"/>
  <c r="L42" i="5"/>
  <c r="K48" i="5"/>
  <c r="K43" i="5"/>
  <c r="K31" i="5"/>
  <c r="K41" i="5"/>
  <c r="K40" i="5"/>
  <c r="L41" i="5"/>
  <c r="L49" i="5"/>
  <c r="K39" i="5"/>
  <c r="K49" i="5"/>
  <c r="K37" i="5"/>
  <c r="K35" i="5"/>
  <c r="L33" i="5"/>
  <c r="H50" i="5"/>
  <c r="L43" i="5"/>
  <c r="L31" i="5"/>
  <c r="K47" i="5"/>
  <c r="K36" i="5"/>
  <c r="L32" i="5"/>
  <c r="K38" i="5"/>
  <c r="F50" i="5"/>
  <c r="I50" i="5" s="1"/>
  <c r="L38" i="5"/>
  <c r="K34" i="5"/>
  <c r="L34" i="5"/>
  <c r="L36" i="5"/>
  <c r="L47" i="5"/>
  <c r="L40" i="5"/>
  <c r="K42" i="5"/>
</calcChain>
</file>

<file path=xl/sharedStrings.xml><?xml version="1.0" encoding="utf-8"?>
<sst xmlns="http://schemas.openxmlformats.org/spreadsheetml/2006/main" count="1647" uniqueCount="196">
  <si>
    <t>Account Number</t>
  </si>
  <si>
    <t>Holder Name</t>
  </si>
  <si>
    <t>Deposit Date</t>
  </si>
  <si>
    <t>Maturity Date</t>
  </si>
  <si>
    <t>Currency</t>
  </si>
  <si>
    <t>Principal Amount</t>
  </si>
  <si>
    <t>Lien Amount</t>
  </si>
  <si>
    <t>Available Balance</t>
  </si>
  <si>
    <t>Maturity Amount</t>
  </si>
  <si>
    <t>Owner</t>
  </si>
  <si>
    <t>ROI % p.a.</t>
  </si>
  <si>
    <t>Tenor Years</t>
  </si>
  <si>
    <t>Tenor Months</t>
  </si>
  <si>
    <t>Folio Number</t>
  </si>
  <si>
    <t>Ticker / Symbol</t>
  </si>
  <si>
    <t>Fund Name</t>
  </si>
  <si>
    <t>Company Name</t>
  </si>
  <si>
    <t>ISIN</t>
  </si>
  <si>
    <t>Exchange</t>
  </si>
  <si>
    <t>Purchase Date</t>
  </si>
  <si>
    <t>Quantity</t>
  </si>
  <si>
    <t>Avg Buy Price</t>
  </si>
  <si>
    <t>Units</t>
  </si>
  <si>
    <t>Invested Amount</t>
  </si>
  <si>
    <t>Purchase NAV</t>
  </si>
  <si>
    <t>% Return</t>
  </si>
  <si>
    <t>Mr. Janak Khandelwal</t>
  </si>
  <si>
    <t>IDFCFIRSTB</t>
  </si>
  <si>
    <t>INE092T01019</t>
  </si>
  <si>
    <t>NSE</t>
  </si>
  <si>
    <t>Mrs. KAVITA KHANDELWAL</t>
  </si>
  <si>
    <t>PARAG PARIKH FLEXI CAP FUND - DIRECT PLAN GROWTH</t>
  </si>
  <si>
    <t>INF879O01027</t>
  </si>
  <si>
    <t>2026-03-06</t>
  </si>
  <si>
    <t>INR</t>
  </si>
  <si>
    <t>BAJAJFINSV</t>
  </si>
  <si>
    <t>INE918I01026</t>
  </si>
  <si>
    <t>41357456/41</t>
  </si>
  <si>
    <t>HDFC MID CAP FUND - DIRECT PLAN - GROWTH OPTION</t>
  </si>
  <si>
    <t>INF179K01XQ0</t>
  </si>
  <si>
    <t>2026-03-09</t>
  </si>
  <si>
    <t>BAJFINANCE</t>
  </si>
  <si>
    <t>INE296A01032</t>
  </si>
  <si>
    <t>BEL</t>
  </si>
  <si>
    <t>INE263A01024</t>
  </si>
  <si>
    <t>INVESCO INDIA SMALL CAP FUND - DIRECT GROWTH</t>
  </si>
  <si>
    <t>INF205K013T3</t>
  </si>
  <si>
    <t>BLS</t>
  </si>
  <si>
    <t>INE153T01027</t>
  </si>
  <si>
    <t>BRITANNIA</t>
  </si>
  <si>
    <t>INE216A01030</t>
  </si>
  <si>
    <t>588388851981</t>
  </si>
  <si>
    <t>UTI NIFTY NEXT 50 INDEX FUND - DIRECT GROWTH PLAN</t>
  </si>
  <si>
    <t>COLPAL</t>
  </si>
  <si>
    <t>INF789FC12T1</t>
  </si>
  <si>
    <t>INE259A01022</t>
  </si>
  <si>
    <t>Mr. SATYANARAYAN SHARMA</t>
  </si>
  <si>
    <t>ETERNAL</t>
  </si>
  <si>
    <t>INE758T01015</t>
  </si>
  <si>
    <t>2026-03-12</t>
  </si>
  <si>
    <t>HDFCBANK</t>
  </si>
  <si>
    <t>INE040A01034</t>
  </si>
  <si>
    <t>HDFCLIFE</t>
  </si>
  <si>
    <t>INE795G01014</t>
  </si>
  <si>
    <t>HUDCO</t>
  </si>
  <si>
    <t>INE031A01017</t>
  </si>
  <si>
    <t>Mr. RAJESH KUMAR</t>
  </si>
  <si>
    <t>USD</t>
  </si>
  <si>
    <t>ITC</t>
  </si>
  <si>
    <t>INE154A01025</t>
  </si>
  <si>
    <t>JIOFIN</t>
  </si>
  <si>
    <t>INE758E01017</t>
  </si>
  <si>
    <t>KWIL</t>
  </si>
  <si>
    <t>INE2KCE01013</t>
  </si>
  <si>
    <t>HDFC LIQUID FUND - DIRECT PLAN - GROWTH OPTION</t>
  </si>
  <si>
    <t>INF179KB1HP9</t>
  </si>
  <si>
    <t>2026-03-18</t>
  </si>
  <si>
    <t>MSUMI</t>
  </si>
  <si>
    <t>INE0FS801015</t>
  </si>
  <si>
    <t>NAUKRI</t>
  </si>
  <si>
    <t>INE663F01032</t>
  </si>
  <si>
    <t>PARAG PARIKH LIQUID FUND-DIRECT PLAN-GROWTH</t>
  </si>
  <si>
    <t>INF879O01068</t>
  </si>
  <si>
    <t>NLCINDIA</t>
  </si>
  <si>
    <t>INE589A01014</t>
  </si>
  <si>
    <t>PNB</t>
  </si>
  <si>
    <t>INE160A01022</t>
  </si>
  <si>
    <t>REDINGTON</t>
  </si>
  <si>
    <t>INE891D01026</t>
  </si>
  <si>
    <t>2026-03-19</t>
  </si>
  <si>
    <t>SBIN</t>
  </si>
  <si>
    <t>INE062A01020</t>
  </si>
  <si>
    <t>SUZLON</t>
  </si>
  <si>
    <t>INE040H01021</t>
  </si>
  <si>
    <t>TATAPOWER</t>
  </si>
  <si>
    <t>INE245A01021</t>
  </si>
  <si>
    <t>TMCV</t>
  </si>
  <si>
    <t>INE1TAE01010</t>
  </si>
  <si>
    <t>TMPV</t>
  </si>
  <si>
    <t>INE155A01022</t>
  </si>
  <si>
    <t>VAML</t>
  </si>
  <si>
    <t>INE1CDF01017</t>
  </si>
  <si>
    <t>VEDL</t>
  </si>
  <si>
    <t>INE205A01025</t>
  </si>
  <si>
    <t>VEDPOWER</t>
  </si>
  <si>
    <t>INE694L01019</t>
  </si>
  <si>
    <t>VISL</t>
  </si>
  <si>
    <t>INE1CLE01013</t>
  </si>
  <si>
    <t>VOGL</t>
  </si>
  <si>
    <t>INE704J01044</t>
  </si>
  <si>
    <t>WELSPUNLIV</t>
  </si>
  <si>
    <t>INE192B01031</t>
  </si>
  <si>
    <t>ALANKIT</t>
  </si>
  <si>
    <t>INE914E01040</t>
  </si>
  <si>
    <t>BHARTIARTL</t>
  </si>
  <si>
    <t>INE397D01024</t>
  </si>
  <si>
    <t>SGBSEP31II-GB</t>
  </si>
  <si>
    <t>IN0020230093</t>
  </si>
  <si>
    <t>SGBMR29XII-GB</t>
  </si>
  <si>
    <t>IN0020200427</t>
  </si>
  <si>
    <t>INR - Total Principal</t>
  </si>
  <si>
    <t>INR - Total Maturity Value</t>
  </si>
  <si>
    <t>INR - Blocked (Lien)</t>
  </si>
  <si>
    <t>INR - Available</t>
  </si>
  <si>
    <t>USD - Total Principal</t>
  </si>
  <si>
    <t>USD - Total Maturity Value</t>
  </si>
  <si>
    <t>USD - Available</t>
  </si>
  <si>
    <t>Next maturity date</t>
  </si>
  <si>
    <t>Quant Small Cap Fund Direct Plan Growth</t>
  </si>
  <si>
    <t>INF966L01689</t>
  </si>
  <si>
    <t>2023.06.20</t>
  </si>
  <si>
    <t>Kotak Hybrid Equity Fund Growth</t>
  </si>
  <si>
    <t>INF174K01E92</t>
  </si>
  <si>
    <t>2019.02.11</t>
  </si>
  <si>
    <t>Kotak Infrastructure &amp; Economic Reform Fund Direct Growth</t>
  </si>
  <si>
    <t>INF178L01AL9</t>
  </si>
  <si>
    <t>2023.06.21</t>
  </si>
  <si>
    <t>Axis Large Cap Fund Direct Growth</t>
  </si>
  <si>
    <t>INF846K01DP8</t>
  </si>
  <si>
    <t>2025.03.03</t>
  </si>
  <si>
    <t>ICICI Prudential Value Discovery Fund Direct Growth</t>
  </si>
  <si>
    <t>INF109K012K1</t>
  </si>
  <si>
    <t>2018.01.08</t>
  </si>
  <si>
    <t>ICICI Prudential BHARAT 22 FOF Direct Growth</t>
  </si>
  <si>
    <t>INF109KC1FX1</t>
  </si>
  <si>
    <t>2024.11.08</t>
  </si>
  <si>
    <t>DSP Large Cap Fund Growth</t>
  </si>
  <si>
    <t>INF740K01PR3</t>
  </si>
  <si>
    <t>HDFC Large Cap Fund Growth - Regular</t>
  </si>
  <si>
    <t>INF179K01BE2</t>
  </si>
  <si>
    <t>% RETURN</t>
  </si>
  <si>
    <t>Avg Age of Investment (Days</t>
  </si>
  <si>
    <t>Annualized Return Proxy (CAGR-style)</t>
  </si>
  <si>
    <t>MF Score</t>
  </si>
  <si>
    <t>Volatility Proxy</t>
  </si>
  <si>
    <t>Concentration Risk</t>
  </si>
  <si>
    <t>Flag:</t>
  </si>
  <si>
    <t>SBI Contra Direct Plan Growth</t>
  </si>
  <si>
    <t>INF200K01RA0</t>
  </si>
  <si>
    <t>2026.01.12</t>
  </si>
  <si>
    <t>2026.03.05</t>
  </si>
  <si>
    <t>2026.03.09</t>
  </si>
  <si>
    <t>2025.03.30</t>
  </si>
  <si>
    <t>11062226/29</t>
  </si>
  <si>
    <t>DSP NIFTY NEXT 50 INDEX FUND - DIRECT - GROWTH</t>
  </si>
  <si>
    <t>INF740KA1MG9</t>
  </si>
  <si>
    <t>EDELWEISS MID CAP FUND - DIRECT PLAN GROWTH OPTION</t>
  </si>
  <si>
    <t>INF843K01AO4</t>
  </si>
  <si>
    <t>44179073/89</t>
  </si>
  <si>
    <t>ICICI PRUDENTIAL INFRASTRUCTURE FUND - DIRECT PLAN - GROWTH</t>
  </si>
  <si>
    <t>INF109K018M4</t>
  </si>
  <si>
    <t>ITI SMALL CAP FUND DIRECT PLAN GROWTH</t>
  </si>
  <si>
    <t>INF00XX01747</t>
  </si>
  <si>
    <t>2026-08-06</t>
  </si>
  <si>
    <t>2026-08-07</t>
  </si>
  <si>
    <t>2026-08-10</t>
  </si>
  <si>
    <t>2026-08-13</t>
  </si>
  <si>
    <t>2026-08-14</t>
  </si>
  <si>
    <t>2026-08-17</t>
  </si>
  <si>
    <t>2026-08-18</t>
  </si>
  <si>
    <t>2026-08-19</t>
  </si>
  <si>
    <t>ICICI PRUDENTIAL INFRASTRUCTURE FUND - DIRECT PLAN -  GROWTH</t>
  </si>
  <si>
    <t>HDFC LIQUID FUND-DIRECT PLAN-GROWTH OPTION</t>
  </si>
  <si>
    <t>43886784/76</t>
  </si>
  <si>
    <t>INF204KB17I5</t>
  </si>
  <si>
    <t>HDFC GOLD ETF FUND OF FUND-DIRECT PLAN GROWTH</t>
  </si>
  <si>
    <t>HDFC GOLD ETF FUND OF FUND  - DIRECT PLAN - GROWTH OPTION</t>
  </si>
  <si>
    <t>2026-06-09</t>
  </si>
  <si>
    <t>INF179K01VX0</t>
  </si>
  <si>
    <t>2026-08-05</t>
  </si>
  <si>
    <t>2026-08-11</t>
  </si>
  <si>
    <t>2026-08-12</t>
  </si>
  <si>
    <t>ICICI Prudential Gold ETF FoF Growth</t>
  </si>
  <si>
    <t>2026.08.18</t>
  </si>
  <si>
    <t>INF109K01TK8</t>
  </si>
  <si>
    <t>GOLDBEES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</si>
</sst>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/dd/yyyy"/>
    <numFmt numFmtId="165" formatCode="yyyy\-mm\-dd"/>
    <numFmt numFmtId="166" formatCode="_-* #,##0.00_-;\-* #,##0.00_-;_-* &quot;-&quot;??_-;_-@"/>
    <numFmt numFmtId="167" formatCode="&quot;₹&quot;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0"/>
      <color theme="1"/>
      <name val="Calibri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164" fontId="3" fillId="0" borderId="0" xfId="0" applyNumberFormat="1" applyFont="1"/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vertical="center" wrapText="1"/>
    </xf>
    <xf numFmtId="1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4" fontId="4" fillId="0" borderId="0" xfId="0" applyNumberFormat="1" applyFont="1" applyAlignment="1">
      <alignment vertical="center" wrapText="1"/>
    </xf>
    <xf numFmtId="2" fontId="3" fillId="0" borderId="0" xfId="0" applyNumberFormat="1" applyFont="1"/>
    <xf numFmtId="1" fontId="3" fillId="0" borderId="0" xfId="0" applyNumberFormat="1" applyFont="1"/>
    <xf numFmtId="10" fontId="3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4" fontId="4" fillId="0" borderId="0" xfId="0" applyNumberFormat="1" applyFont="1"/>
    <xf numFmtId="165" fontId="3" fillId="0" borderId="0" xfId="0" applyNumberFormat="1" applyFont="1" applyAlignment="1">
      <alignment horizontal="left"/>
    </xf>
    <xf numFmtId="2" fontId="6" fillId="0" borderId="0" xfId="0" applyNumberFormat="1" applyFont="1" applyAlignment="1">
      <alignment horizontal="right"/>
    </xf>
    <xf numFmtId="0" fontId="7" fillId="0" borderId="0" xfId="0" applyFont="1"/>
    <xf numFmtId="15" fontId="4" fillId="0" borderId="0" xfId="0" applyNumberFormat="1" applyFont="1"/>
    <xf numFmtId="0" fontId="5" fillId="0" borderId="0" xfId="0" applyFont="1"/>
    <xf numFmtId="167" fontId="3" fillId="0" borderId="0" xfId="0" applyNumberFormat="1" applyFont="1"/>
    <xf numFmtId="2" fontId="5" fillId="0" borderId="0" xfId="0" applyNumberFormat="1" applyFont="1"/>
    <xf numFmtId="1" fontId="4" fillId="0" borderId="0" xfId="0" applyNumberFormat="1" applyFont="1" applyAlignment="1">
      <alignment vertical="center" wrapText="1"/>
    </xf>
    <xf numFmtId="43" fontId="0" fillId="0" borderId="0" xfId="0" applyNumberFormat="1"/>
    <xf numFmtId="43" fontId="3" fillId="0" borderId="0" xfId="0" applyNumberFormat="1" applyFont="1"/>
    <xf numFmtId="0" fontId="1" fillId="0" borderId="0" xfId="0" applyFont="1"/>
    <xf numFmtId="2" fontId="8" fillId="0" borderId="0" xfId="0" applyNumberFormat="1" applyFont="1"/>
  </cellXfs>
  <cellStyles count="1">
    <cellStyle name="Normal" xfId="0" builtinId="0"/>
  </cellStyles>
  <dxfs count="21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8FF"/>
          <bgColor rgb="FFF8F8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8FF"/>
          <bgColor rgb="FFF9F8FF"/>
        </patternFill>
      </fill>
    </dxf>
    <dxf>
      <fill>
        <patternFill patternType="solid">
          <fgColor rgb="FF465D92"/>
          <bgColor rgb="FF465D92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Summary-style" pivot="0" count="4" xr9:uid="{00000000-0011-0000-FFFF-FFFF00000000}">
      <tableStyleElement type="wholeTable" size="0" dxfId="20"/>
      <tableStyleElement type="headerRow" dxfId="19"/>
      <tableStyleElement type="firstRowStripe" dxfId="18"/>
      <tableStyleElement type="secondRowStripe" dxfId="17"/>
    </tableStyle>
    <tableStyle name="Summary-style 2" pivot="0" count="2" xr9:uid="{00000000-0011-0000-FFFF-FFFF01000000}">
      <tableStyleElement type="firstRowStripe" dxfId="16"/>
      <tableStyleElement type="secondRowStripe" dxfId="15"/>
    </tableStyle>
    <tableStyle name="Dashboard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PROFILE-style" pivot="0" count="4" xr9:uid="{00000000-0011-0000-FFFF-FFFF03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WEALTH_ENGINE-style" pivot="0" count="2" xr9:uid="{00000000-0011-0000-FFFF-FFFF04000000}">
      <tableStyleElement type="firstRowStripe" dxfId="7"/>
      <tableStyleElement type="secondRowStripe" dxfId="6"/>
    </tableStyle>
    <tableStyle name="WEALTH_ENGINE-style 2" pivot="0" count="2" xr9:uid="{00000000-0011-0000-FFFF-FFFF05000000}">
      <tableStyleElement type="firstRowStripe" dxfId="5"/>
      <tableStyleElement type="secondRowStripe" dxfId="4"/>
    </tableStyle>
    <tableStyle name="WEALTH_ENGINE-style 3" pivot="0" count="2" xr9:uid="{00000000-0011-0000-FFFF-FFFF06000000}">
      <tableStyleElement type="firstRowStripe" dxfId="3"/>
      <tableStyleElement type="secondRowStripe" dxfId="2"/>
    </tableStyle>
    <tableStyle name="WEALTH_ENGINE-style 4" pivot="0" count="2" xr9:uid="{00000000-0011-0000-FFFF-FFFF0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5"/>
  <sheetViews>
    <sheetView zoomScale="85" zoomScaleNormal="85" workbookViewId="0">
      <selection activeCell="B42" sqref="B42"/>
    </sheetView>
  </sheetViews>
  <sheetFormatPr defaultColWidth="14.3984375" defaultRowHeight="15" customHeight="1" x14ac:dyDescent="0.45"/>
  <cols>
    <col min="1" max="1" width="24.53125" customWidth="1"/>
    <col min="2" max="2" width="27.53125" customWidth="1"/>
    <col min="3" max="3" width="12.3984375" customWidth="1"/>
    <col min="4" max="4" width="13.3984375" customWidth="1"/>
    <col min="5" max="5" width="8.86328125" customWidth="1"/>
    <col min="6" max="6" width="16.3984375" customWidth="1"/>
    <col min="7" max="7" width="12.265625" customWidth="1"/>
    <col min="8" max="8" width="16.73046875" customWidth="1"/>
    <col min="9" max="9" width="16.3984375" customWidth="1"/>
    <col min="10" max="10" width="9.86328125" customWidth="1"/>
    <col min="11" max="11" width="8.3984375" customWidth="1"/>
    <col min="12" max="12" width="8.86328125" customWidth="1"/>
    <col min="13" max="14" width="9.86328125" bestFit="1" customWidth="1"/>
    <col min="15" max="19" width="8.73046875" customWidth="1"/>
  </cols>
  <sheetData>
    <row r="1" spans="1:19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10</v>
      </c>
      <c r="K1" s="1" t="s">
        <v>11</v>
      </c>
      <c r="L1" s="1" t="s">
        <v>12</v>
      </c>
      <c r="M1" s="5"/>
      <c r="N1" s="5"/>
      <c r="O1" s="5"/>
      <c r="P1" s="5"/>
      <c r="Q1" s="5"/>
      <c r="R1" s="5"/>
      <c r="S1" s="5"/>
    </row>
    <row r="2" spans="1:19" ht="14.25" customHeight="1" x14ac:dyDescent="0.45">
      <c r="A2" s="28">
        <v>44593037174</v>
      </c>
      <c r="B2" s="6" t="s">
        <v>30</v>
      </c>
      <c r="C2" s="9">
        <v>45959</v>
      </c>
      <c r="D2" s="9">
        <v>46403</v>
      </c>
      <c r="E2" s="6" t="s">
        <v>34</v>
      </c>
      <c r="F2" s="11">
        <v>50000</v>
      </c>
      <c r="G2" s="11">
        <v>50000</v>
      </c>
      <c r="H2" s="11">
        <v>0</v>
      </c>
      <c r="I2" s="11">
        <v>54145</v>
      </c>
      <c r="J2" s="14">
        <v>6.6</v>
      </c>
      <c r="K2" s="6">
        <v>0</v>
      </c>
      <c r="L2" s="6">
        <v>14</v>
      </c>
    </row>
    <row r="3" spans="1:19" ht="14.25" customHeight="1" x14ac:dyDescent="0.45">
      <c r="A3" s="28">
        <v>61337382391</v>
      </c>
      <c r="B3" s="6" t="s">
        <v>30</v>
      </c>
      <c r="C3" s="9">
        <v>42725</v>
      </c>
      <c r="D3" s="9">
        <v>47108</v>
      </c>
      <c r="E3" s="6" t="s">
        <v>34</v>
      </c>
      <c r="F3" s="11">
        <v>44009</v>
      </c>
      <c r="G3" s="11">
        <v>25000</v>
      </c>
      <c r="H3" s="11">
        <v>19009</v>
      </c>
      <c r="I3" s="11">
        <v>53086</v>
      </c>
      <c r="J3" s="14">
        <v>6.3</v>
      </c>
      <c r="K3" s="6">
        <v>3</v>
      </c>
      <c r="L3" s="6">
        <v>36</v>
      </c>
    </row>
    <row r="4" spans="1:19" ht="14.25" customHeight="1" x14ac:dyDescent="0.45">
      <c r="A4" s="28">
        <v>38772146994</v>
      </c>
      <c r="B4" s="6" t="s">
        <v>30</v>
      </c>
      <c r="C4" s="9">
        <v>43725</v>
      </c>
      <c r="D4" s="9">
        <v>46388</v>
      </c>
      <c r="E4" s="6" t="s">
        <v>34</v>
      </c>
      <c r="F4" s="11">
        <v>72029</v>
      </c>
      <c r="G4" s="11">
        <v>0</v>
      </c>
      <c r="H4" s="11">
        <v>72029</v>
      </c>
      <c r="I4" s="11">
        <v>77097</v>
      </c>
      <c r="J4" s="14">
        <v>6.25</v>
      </c>
      <c r="K4" s="6">
        <v>1</v>
      </c>
      <c r="L4" s="6">
        <v>13</v>
      </c>
    </row>
    <row r="5" spans="1:19" ht="14.25" customHeight="1" x14ac:dyDescent="0.45">
      <c r="A5" s="28">
        <v>33328759905</v>
      </c>
      <c r="B5" s="6" t="s">
        <v>30</v>
      </c>
      <c r="C5" s="9">
        <v>45215</v>
      </c>
      <c r="D5" s="9">
        <v>46412</v>
      </c>
      <c r="E5" s="6" t="s">
        <v>34</v>
      </c>
      <c r="F5" s="11">
        <v>54960</v>
      </c>
      <c r="G5" s="11">
        <v>0</v>
      </c>
      <c r="H5" s="11">
        <v>54960</v>
      </c>
      <c r="I5" s="11">
        <v>58817</v>
      </c>
      <c r="J5" s="14">
        <v>6.25</v>
      </c>
      <c r="K5" s="6">
        <v>1</v>
      </c>
      <c r="L5" s="6">
        <v>13</v>
      </c>
    </row>
    <row r="6" spans="1:19" ht="14.25" customHeight="1" x14ac:dyDescent="0.45">
      <c r="A6" s="28">
        <v>44534674181</v>
      </c>
      <c r="B6" s="6" t="s">
        <v>56</v>
      </c>
      <c r="C6" s="9">
        <v>45937</v>
      </c>
      <c r="D6" s="9">
        <v>46333</v>
      </c>
      <c r="E6" s="6" t="s">
        <v>34</v>
      </c>
      <c r="F6" s="11">
        <v>200000</v>
      </c>
      <c r="G6" s="11">
        <v>0</v>
      </c>
      <c r="H6" s="11">
        <v>200000</v>
      </c>
      <c r="I6" s="11">
        <v>215072</v>
      </c>
      <c r="J6" s="14">
        <v>6.75</v>
      </c>
      <c r="K6" s="6">
        <v>1</v>
      </c>
      <c r="L6" s="6">
        <v>13</v>
      </c>
    </row>
    <row r="7" spans="1:19" ht="14.25" customHeight="1" x14ac:dyDescent="0.45">
      <c r="A7" s="28">
        <v>44026778199</v>
      </c>
      <c r="B7" s="6" t="s">
        <v>56</v>
      </c>
      <c r="C7" s="9">
        <v>45771</v>
      </c>
      <c r="D7" s="9">
        <v>46501</v>
      </c>
      <c r="E7" s="6" t="s">
        <v>34</v>
      </c>
      <c r="F7" s="11">
        <v>300000</v>
      </c>
      <c r="G7" s="11">
        <v>0</v>
      </c>
      <c r="H7" s="11">
        <v>300000</v>
      </c>
      <c r="I7" s="11">
        <v>347384</v>
      </c>
      <c r="J7" s="14">
        <v>7.4</v>
      </c>
      <c r="K7" s="6">
        <v>2</v>
      </c>
      <c r="L7" s="6">
        <v>24</v>
      </c>
    </row>
    <row r="8" spans="1:19" ht="14.25" customHeight="1" x14ac:dyDescent="0.45">
      <c r="A8" s="16">
        <v>42003550663</v>
      </c>
      <c r="B8" s="2" t="s">
        <v>56</v>
      </c>
      <c r="C8" s="18">
        <v>45092</v>
      </c>
      <c r="D8" s="18">
        <v>46292</v>
      </c>
      <c r="E8" s="2" t="s">
        <v>34</v>
      </c>
      <c r="F8" s="19">
        <v>77621</v>
      </c>
      <c r="G8" s="19">
        <v>0</v>
      </c>
      <c r="H8" s="19">
        <v>77621</v>
      </c>
      <c r="I8" s="19">
        <v>83532</v>
      </c>
      <c r="J8" s="20">
        <v>6.75</v>
      </c>
      <c r="K8" s="2">
        <v>0</v>
      </c>
      <c r="L8" s="2">
        <v>13</v>
      </c>
    </row>
    <row r="9" spans="1:19" ht="14.25" customHeight="1" x14ac:dyDescent="0.45">
      <c r="A9" s="16">
        <v>44845539534</v>
      </c>
      <c r="B9" s="2" t="s">
        <v>66</v>
      </c>
      <c r="C9" s="18">
        <v>46035</v>
      </c>
      <c r="D9" s="18">
        <v>46759</v>
      </c>
      <c r="E9" s="2" t="s">
        <v>67</v>
      </c>
      <c r="F9" s="19">
        <v>7467.76</v>
      </c>
      <c r="G9" s="19">
        <v>0</v>
      </c>
      <c r="H9" s="19">
        <v>7467.76</v>
      </c>
      <c r="I9" s="19">
        <v>8199.14</v>
      </c>
      <c r="J9" s="20">
        <v>4.7</v>
      </c>
      <c r="K9" s="2">
        <v>1</v>
      </c>
      <c r="L9" s="2">
        <v>24</v>
      </c>
    </row>
    <row r="10" spans="1:19" ht="14.25" customHeight="1" x14ac:dyDescent="0.45">
      <c r="A10" s="16">
        <v>44566202075</v>
      </c>
      <c r="B10" s="2" t="s">
        <v>66</v>
      </c>
      <c r="C10" s="18">
        <v>45944</v>
      </c>
      <c r="D10" s="18">
        <v>46309</v>
      </c>
      <c r="E10" s="2" t="s">
        <v>67</v>
      </c>
      <c r="F10" s="19">
        <v>7324.09</v>
      </c>
      <c r="G10" s="19">
        <v>0</v>
      </c>
      <c r="H10" s="19">
        <v>7324.09</v>
      </c>
      <c r="I10" s="19">
        <v>7695.38</v>
      </c>
      <c r="J10" s="20">
        <v>5</v>
      </c>
      <c r="K10" s="2">
        <v>1</v>
      </c>
      <c r="L10" s="2">
        <v>12</v>
      </c>
    </row>
    <row r="11" spans="1:19" ht="14.25" customHeight="1" x14ac:dyDescent="0.45">
      <c r="A11" s="16">
        <v>44279144437</v>
      </c>
      <c r="B11" s="2" t="s">
        <v>66</v>
      </c>
      <c r="C11" s="18">
        <v>46245</v>
      </c>
      <c r="D11" s="18">
        <v>47341</v>
      </c>
      <c r="E11" s="2" t="s">
        <v>67</v>
      </c>
      <c r="F11" s="19">
        <v>7700.16</v>
      </c>
      <c r="G11" s="19">
        <v>0</v>
      </c>
      <c r="H11" s="19">
        <v>7700.16</v>
      </c>
      <c r="I11" s="19">
        <v>8181.42</v>
      </c>
      <c r="J11" s="20">
        <v>6.25</v>
      </c>
      <c r="K11" s="2">
        <v>3</v>
      </c>
      <c r="L11" s="2">
        <v>36</v>
      </c>
      <c r="M11" s="29"/>
      <c r="N11" s="30"/>
      <c r="O11" s="30"/>
    </row>
    <row r="12" spans="1:19" ht="14.25" customHeight="1" x14ac:dyDescent="0.45">
      <c r="A12" s="16">
        <v>43997482706</v>
      </c>
      <c r="B12" s="2" t="s">
        <v>66</v>
      </c>
      <c r="C12" s="18">
        <v>45755</v>
      </c>
      <c r="D12" s="18">
        <v>46454</v>
      </c>
      <c r="E12" s="2" t="s">
        <v>67</v>
      </c>
      <c r="F12" s="19">
        <v>9530.31</v>
      </c>
      <c r="G12" s="19">
        <v>0</v>
      </c>
      <c r="H12" s="19">
        <v>9530.31</v>
      </c>
      <c r="I12" s="19">
        <v>10589.52</v>
      </c>
      <c r="J12" s="20">
        <v>5.5</v>
      </c>
      <c r="K12" s="2">
        <v>1</v>
      </c>
      <c r="L12" s="2">
        <v>23</v>
      </c>
    </row>
    <row r="13" spans="1:19" ht="14.25" customHeight="1" x14ac:dyDescent="0.45">
      <c r="A13" s="16">
        <v>43733169283</v>
      </c>
      <c r="B13" s="2" t="s">
        <v>66</v>
      </c>
      <c r="C13" s="18">
        <v>45672</v>
      </c>
      <c r="D13" s="18">
        <v>46371</v>
      </c>
      <c r="E13" s="2" t="s">
        <v>67</v>
      </c>
      <c r="F13" s="19">
        <v>6732.37</v>
      </c>
      <c r="G13" s="19">
        <v>0</v>
      </c>
      <c r="H13" s="19">
        <v>6732.37</v>
      </c>
      <c r="I13" s="19">
        <v>7480.61</v>
      </c>
      <c r="J13" s="20">
        <v>5.5</v>
      </c>
      <c r="K13" s="2">
        <v>1</v>
      </c>
      <c r="L13" s="2">
        <v>23</v>
      </c>
      <c r="N13" s="2"/>
      <c r="O13" s="2"/>
    </row>
    <row r="14" spans="1:19" ht="14.25" customHeight="1" x14ac:dyDescent="0.45">
      <c r="A14" s="16">
        <v>43291394536</v>
      </c>
      <c r="B14" s="2" t="s">
        <v>66</v>
      </c>
      <c r="C14" s="18">
        <v>46249</v>
      </c>
      <c r="D14" s="18">
        <v>47345</v>
      </c>
      <c r="E14" s="2" t="s">
        <v>67</v>
      </c>
      <c r="F14" s="19">
        <v>11600.12</v>
      </c>
      <c r="G14" s="19">
        <v>0</v>
      </c>
      <c r="H14" s="19">
        <v>11600.12</v>
      </c>
      <c r="I14" s="19">
        <v>12325.127500000001</v>
      </c>
      <c r="J14" s="20">
        <v>6.25</v>
      </c>
      <c r="K14" s="2">
        <v>3</v>
      </c>
      <c r="L14" s="2">
        <v>36</v>
      </c>
      <c r="M14" s="29"/>
      <c r="N14" s="29"/>
    </row>
    <row r="15" spans="1:19" ht="14.25" customHeight="1" x14ac:dyDescent="0.45">
      <c r="A15" s="16">
        <v>43163907025</v>
      </c>
      <c r="B15" s="2" t="s">
        <v>66</v>
      </c>
      <c r="C15" s="18">
        <v>45478</v>
      </c>
      <c r="D15" s="18">
        <v>46878</v>
      </c>
      <c r="E15" s="2" t="s">
        <v>67</v>
      </c>
      <c r="F15" s="19">
        <v>7537.41</v>
      </c>
      <c r="G15" s="19">
        <v>0</v>
      </c>
      <c r="H15" s="19">
        <v>7537.41</v>
      </c>
      <c r="I15" s="19">
        <v>8203.25</v>
      </c>
      <c r="J15" s="20">
        <v>5.65</v>
      </c>
      <c r="K15" s="2">
        <v>1</v>
      </c>
      <c r="L15" s="2">
        <v>23</v>
      </c>
    </row>
    <row r="16" spans="1:19" ht="14.25" customHeight="1" x14ac:dyDescent="0.45">
      <c r="A16" s="16">
        <v>42615430036</v>
      </c>
      <c r="B16" s="2" t="s">
        <v>66</v>
      </c>
      <c r="C16" s="18">
        <v>45300</v>
      </c>
      <c r="D16" s="18">
        <v>46396</v>
      </c>
      <c r="E16" s="2" t="s">
        <v>67</v>
      </c>
      <c r="F16" s="19">
        <v>7725.96</v>
      </c>
      <c r="G16" s="19">
        <v>0</v>
      </c>
      <c r="H16" s="19">
        <v>7725.96</v>
      </c>
      <c r="I16" s="19">
        <v>8094.12</v>
      </c>
      <c r="J16" s="20">
        <v>4.7</v>
      </c>
      <c r="K16" s="2">
        <v>1</v>
      </c>
      <c r="L16" s="2">
        <v>36</v>
      </c>
    </row>
    <row r="17" spans="1:12" ht="14.25" customHeight="1" x14ac:dyDescent="0.45">
      <c r="A17" s="16">
        <v>45119505710</v>
      </c>
      <c r="B17" s="2" t="s">
        <v>66</v>
      </c>
      <c r="C17" s="18">
        <v>46134</v>
      </c>
      <c r="D17" s="18">
        <v>46499</v>
      </c>
      <c r="E17" s="2" t="s">
        <v>67</v>
      </c>
      <c r="F17" s="19">
        <v>7828.35</v>
      </c>
      <c r="G17" s="19">
        <v>0</v>
      </c>
      <c r="H17" s="19">
        <v>7929.77</v>
      </c>
      <c r="I17" s="19">
        <v>8177.58</v>
      </c>
      <c r="J17" s="20">
        <v>4.4000000000000004</v>
      </c>
      <c r="K17" s="2">
        <v>1</v>
      </c>
      <c r="L17" s="2">
        <v>24</v>
      </c>
    </row>
    <row r="18" spans="1:12" ht="14.25" customHeight="1" x14ac:dyDescent="0.45">
      <c r="A18" s="16">
        <v>43807426829</v>
      </c>
      <c r="B18" s="2" t="s">
        <v>66</v>
      </c>
      <c r="C18" s="18">
        <v>45698</v>
      </c>
      <c r="D18" s="18">
        <v>46498</v>
      </c>
      <c r="E18" s="2" t="s">
        <v>34</v>
      </c>
      <c r="F18" s="19">
        <v>422022</v>
      </c>
      <c r="G18" s="19">
        <v>400000</v>
      </c>
      <c r="H18" s="19">
        <v>0</v>
      </c>
      <c r="I18" s="19">
        <v>451714</v>
      </c>
      <c r="J18" s="20">
        <v>6.25</v>
      </c>
      <c r="K18" s="2">
        <v>0</v>
      </c>
      <c r="L18" s="2">
        <v>13</v>
      </c>
    </row>
    <row r="19" spans="1:12" ht="14.25" customHeight="1" x14ac:dyDescent="0.45">
      <c r="A19" s="16">
        <v>41917700870</v>
      </c>
      <c r="B19" s="2" t="s">
        <v>66</v>
      </c>
      <c r="C19" s="18">
        <v>45061</v>
      </c>
      <c r="D19" s="18">
        <v>46261</v>
      </c>
      <c r="E19" s="2" t="s">
        <v>34</v>
      </c>
      <c r="F19" s="19">
        <v>1749966</v>
      </c>
      <c r="G19" s="19">
        <v>0</v>
      </c>
      <c r="H19" s="19">
        <v>1749966</v>
      </c>
      <c r="I19" s="19">
        <v>1873088</v>
      </c>
      <c r="J19" s="20">
        <v>6.25</v>
      </c>
      <c r="K19" s="2">
        <v>0</v>
      </c>
      <c r="L19" s="2">
        <v>15</v>
      </c>
    </row>
    <row r="20" spans="1:12" ht="14.25" customHeight="1" x14ac:dyDescent="0.45">
      <c r="A20" s="16">
        <v>40532970714</v>
      </c>
      <c r="B20" s="2" t="s">
        <v>66</v>
      </c>
      <c r="C20" s="18">
        <v>44495</v>
      </c>
      <c r="D20" s="18">
        <v>46686</v>
      </c>
      <c r="E20" s="2" t="s">
        <v>34</v>
      </c>
      <c r="F20" s="19">
        <v>2342229</v>
      </c>
      <c r="G20" s="19">
        <v>0</v>
      </c>
      <c r="H20" s="19">
        <v>2342229</v>
      </c>
      <c r="I20" s="19">
        <v>2863124</v>
      </c>
      <c r="J20" s="20">
        <v>6.75</v>
      </c>
      <c r="K20" s="2">
        <v>3</v>
      </c>
      <c r="L20" s="2">
        <v>72</v>
      </c>
    </row>
    <row r="21" spans="1:12" ht="14.25" customHeight="1" x14ac:dyDescent="0.45">
      <c r="A21" s="16">
        <v>45362549294</v>
      </c>
      <c r="B21" s="2" t="s">
        <v>66</v>
      </c>
      <c r="C21" s="18">
        <v>46211</v>
      </c>
      <c r="D21" s="18">
        <v>47307</v>
      </c>
      <c r="E21" s="2" t="s">
        <v>67</v>
      </c>
      <c r="F21" s="19">
        <v>7690.81</v>
      </c>
      <c r="G21" s="19">
        <v>0</v>
      </c>
      <c r="H21" s="19">
        <v>7690.81</v>
      </c>
      <c r="I21" s="19">
        <v>9005.41</v>
      </c>
      <c r="J21" s="20">
        <v>5.25</v>
      </c>
      <c r="K21" s="2">
        <v>3</v>
      </c>
      <c r="L21" s="2">
        <v>36</v>
      </c>
    </row>
    <row r="22" spans="1:12" ht="14.25" customHeight="1" x14ac:dyDescent="0.45">
      <c r="A22" s="16">
        <v>50301396455541</v>
      </c>
      <c r="B22" s="2" t="s">
        <v>66</v>
      </c>
      <c r="C22" s="18">
        <v>46235</v>
      </c>
      <c r="D22" s="18">
        <v>47331</v>
      </c>
      <c r="E22" s="2" t="s">
        <v>67</v>
      </c>
      <c r="F22" s="19">
        <v>7000</v>
      </c>
      <c r="G22" s="19">
        <v>0</v>
      </c>
      <c r="H22" s="19">
        <v>7000</v>
      </c>
      <c r="I22" s="19">
        <v>8442.81</v>
      </c>
      <c r="J22" s="20">
        <v>6.25</v>
      </c>
      <c r="K22" s="2">
        <v>3</v>
      </c>
      <c r="L22" s="2">
        <f t="shared" ref="L22:L25" si="0">K22*12</f>
        <v>36</v>
      </c>
    </row>
    <row r="23" spans="1:12" ht="14.25" customHeight="1" x14ac:dyDescent="0.45">
      <c r="A23" s="16">
        <v>50301396454452</v>
      </c>
      <c r="B23" s="2" t="s">
        <v>66</v>
      </c>
      <c r="C23" s="18">
        <v>46235</v>
      </c>
      <c r="D23" s="18">
        <v>47331</v>
      </c>
      <c r="E23" s="2" t="s">
        <v>67</v>
      </c>
      <c r="F23" s="19">
        <v>7000</v>
      </c>
      <c r="G23" s="19">
        <v>0</v>
      </c>
      <c r="H23" s="19">
        <v>7000</v>
      </c>
      <c r="I23" s="19">
        <v>8442.81</v>
      </c>
      <c r="J23" s="20">
        <v>6.25</v>
      </c>
      <c r="K23" s="2">
        <v>3</v>
      </c>
      <c r="L23" s="2">
        <f t="shared" si="0"/>
        <v>36</v>
      </c>
    </row>
    <row r="24" spans="1:12" ht="14.25" customHeight="1" x14ac:dyDescent="0.45">
      <c r="A24" s="16">
        <v>50301396455107</v>
      </c>
      <c r="B24" s="2" t="s">
        <v>66</v>
      </c>
      <c r="C24" s="18">
        <v>46235</v>
      </c>
      <c r="D24" s="18">
        <v>47331</v>
      </c>
      <c r="E24" s="2" t="s">
        <v>67</v>
      </c>
      <c r="F24" s="19">
        <v>7000</v>
      </c>
      <c r="G24" s="19">
        <v>0</v>
      </c>
      <c r="H24" s="19">
        <v>7000</v>
      </c>
      <c r="I24" s="19">
        <v>8442.81</v>
      </c>
      <c r="J24" s="20">
        <v>6.25</v>
      </c>
      <c r="K24" s="2">
        <v>3</v>
      </c>
      <c r="L24" s="2">
        <f t="shared" si="0"/>
        <v>36</v>
      </c>
    </row>
    <row r="25" spans="1:12" ht="14.25" customHeight="1" x14ac:dyDescent="0.45">
      <c r="A25" s="16">
        <v>50301396455886</v>
      </c>
      <c r="B25" s="2" t="s">
        <v>66</v>
      </c>
      <c r="C25" s="18">
        <v>46235</v>
      </c>
      <c r="D25" s="18">
        <v>47331</v>
      </c>
      <c r="E25" s="2" t="s">
        <v>67</v>
      </c>
      <c r="F25" s="19">
        <v>7000</v>
      </c>
      <c r="G25" s="19">
        <v>0</v>
      </c>
      <c r="H25" s="19">
        <v>7000</v>
      </c>
      <c r="I25" s="19">
        <v>8442.81</v>
      </c>
      <c r="J25" s="20">
        <v>6.25</v>
      </c>
      <c r="K25" s="2">
        <v>3</v>
      </c>
      <c r="L25" s="2">
        <f t="shared" si="0"/>
        <v>36</v>
      </c>
    </row>
    <row r="26" spans="1:12" ht="14.25" customHeight="1" x14ac:dyDescent="0.45">
      <c r="A26" s="16"/>
      <c r="B26" s="2"/>
      <c r="C26" s="18"/>
      <c r="D26" s="18"/>
      <c r="E26" s="2"/>
      <c r="F26" s="19"/>
      <c r="G26" s="19"/>
      <c r="H26" s="19"/>
      <c r="I26" s="19"/>
      <c r="J26" s="20"/>
      <c r="K26" s="2"/>
      <c r="L26" s="2"/>
    </row>
    <row r="27" spans="1:12" ht="14.25" customHeight="1" x14ac:dyDescent="0.45"/>
    <row r="28" spans="1:12" ht="14.25" customHeight="1" x14ac:dyDescent="0.45">
      <c r="A28" s="2" t="s">
        <v>120</v>
      </c>
      <c r="B28" s="12">
        <f>SUMIF(E2:E105,"INR",F2:F105)</f>
        <v>5312836</v>
      </c>
    </row>
    <row r="29" spans="1:12" ht="14.25" customHeight="1" x14ac:dyDescent="0.45">
      <c r="A29" s="2" t="s">
        <v>121</v>
      </c>
      <c r="B29" s="12">
        <f>SUMIF(E2:E105,"INR",I2:I105)</f>
        <v>6077059</v>
      </c>
    </row>
    <row r="30" spans="1:12" ht="14.25" customHeight="1" x14ac:dyDescent="0.45">
      <c r="A30" s="2" t="s">
        <v>122</v>
      </c>
      <c r="B30" s="12">
        <f>SUMIF(E2:E105,"INR",G2:G105)</f>
        <v>475000</v>
      </c>
    </row>
    <row r="31" spans="1:12" ht="14.25" customHeight="1" x14ac:dyDescent="0.45">
      <c r="A31" s="2" t="s">
        <v>123</v>
      </c>
      <c r="B31" s="12">
        <f>SUMIF(E2:E105,"INR",H2:H105)</f>
        <v>4815814</v>
      </c>
      <c r="C31" s="2"/>
    </row>
    <row r="32" spans="1:12" ht="14.25" customHeight="1" x14ac:dyDescent="0.45">
      <c r="A32" s="2" t="s">
        <v>124</v>
      </c>
      <c r="B32" s="12">
        <f>SUMIF(E2:E105,"USD",F2:F105)</f>
        <v>109137.34000000001</v>
      </c>
      <c r="C32" s="15"/>
    </row>
    <row r="33" spans="1:3" ht="14.25" customHeight="1" x14ac:dyDescent="0.45">
      <c r="A33" s="2" t="s">
        <v>125</v>
      </c>
      <c r="B33" s="12">
        <f>SUMIF(E2:E105,"USD",I2:I105)</f>
        <v>121722.7975</v>
      </c>
      <c r="C33" s="15"/>
    </row>
    <row r="34" spans="1:3" ht="14.25" customHeight="1" x14ac:dyDescent="0.45">
      <c r="A34" s="2" t="s">
        <v>126</v>
      </c>
      <c r="B34" s="12">
        <f>SUMIF(E2:E105,"USD",H2:H105)</f>
        <v>109238.76000000001</v>
      </c>
      <c r="C34" s="15"/>
    </row>
    <row r="35" spans="1:3" ht="14.25" customHeight="1" x14ac:dyDescent="0.45">
      <c r="A35" s="2" t="s">
        <v>127</v>
      </c>
      <c r="B35" s="24">
        <f>MIN(D2:D105)</f>
        <v>46261</v>
      </c>
    </row>
    <row r="36" spans="1:3" ht="14.25" customHeight="1" x14ac:dyDescent="0.45"/>
    <row r="37" spans="1:3" ht="14.25" customHeight="1" x14ac:dyDescent="0.45"/>
    <row r="38" spans="1:3" ht="14.25" customHeight="1" x14ac:dyDescent="0.45"/>
    <row r="39" spans="1:3" ht="14.25" customHeight="1" x14ac:dyDescent="0.45"/>
    <row r="40" spans="1:3" ht="14.25" customHeight="1" x14ac:dyDescent="0.45"/>
    <row r="41" spans="1:3" ht="14.25" customHeight="1" x14ac:dyDescent="0.45"/>
    <row r="42" spans="1:3" ht="14.25" customHeight="1" x14ac:dyDescent="0.45"/>
    <row r="43" spans="1:3" ht="14.25" customHeight="1" x14ac:dyDescent="0.45"/>
    <row r="44" spans="1:3" ht="14.25" customHeight="1" x14ac:dyDescent="0.45"/>
    <row r="45" spans="1:3" ht="14.25" customHeight="1" x14ac:dyDescent="0.45"/>
    <row r="46" spans="1:3" ht="14.25" customHeight="1" x14ac:dyDescent="0.45"/>
    <row r="47" spans="1:3" ht="14.25" customHeight="1" x14ac:dyDescent="0.45"/>
    <row r="48" spans="1:3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  <row r="1003" ht="14.25" customHeight="1" x14ac:dyDescent="0.45"/>
    <row r="1004" ht="14.25" customHeight="1" x14ac:dyDescent="0.45"/>
    <row r="1005" ht="14.25" customHeight="1" x14ac:dyDescent="0.45"/>
  </sheetData>
  <autoFilter ref="A1:L26" xr:uid="{00000000-0009-0000-0000-000001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16"/>
  <sheetViews>
    <sheetView zoomScale="85" zoomScaleNormal="85" workbookViewId="0">
      <pane ySplit="1" topLeftCell="A266" activePane="bottomLeft" state="frozen"/>
      <selection pane="bottomLeft" activeCell="A297" sqref="A297"/>
    </sheetView>
  </sheetViews>
  <sheetFormatPr defaultColWidth="14.3984375" defaultRowHeight="15" customHeight="1" x14ac:dyDescent="0.45"/>
  <cols>
    <col min="1" max="1" width="24.3984375" customWidth="1"/>
    <col min="2" max="2" width="14.265625" customWidth="1"/>
    <col min="3" max="3" width="55.3984375" customWidth="1"/>
    <col min="4" max="4" width="13.86328125" customWidth="1"/>
    <col min="5" max="5" width="13.73046875" customWidth="1"/>
    <col min="6" max="6" width="8" customWidth="1"/>
    <col min="7" max="7" width="13.53125" customWidth="1"/>
    <col min="8" max="8" width="16.3984375" customWidth="1"/>
    <col min="9" max="9" width="8.86328125" customWidth="1"/>
    <col min="10" max="20" width="8.73046875" customWidth="1"/>
  </cols>
  <sheetData>
    <row r="1" spans="1:9" ht="14.25" customHeight="1" x14ac:dyDescent="0.45">
      <c r="A1" s="2" t="s">
        <v>9</v>
      </c>
      <c r="B1" s="3" t="s">
        <v>13</v>
      </c>
      <c r="C1" s="2" t="s">
        <v>15</v>
      </c>
      <c r="D1" s="4" t="s">
        <v>17</v>
      </c>
      <c r="E1" s="2" t="s">
        <v>19</v>
      </c>
      <c r="F1" s="2" t="s">
        <v>22</v>
      </c>
      <c r="G1" s="2" t="s">
        <v>24</v>
      </c>
      <c r="H1" s="2" t="s">
        <v>23</v>
      </c>
      <c r="I1" s="2" t="s">
        <v>4</v>
      </c>
    </row>
    <row r="2" spans="1:9" ht="14.25" customHeight="1" x14ac:dyDescent="0.45">
      <c r="A2" s="2" t="s">
        <v>26</v>
      </c>
      <c r="B2" s="8">
        <v>19479811</v>
      </c>
      <c r="C2" s="2" t="s">
        <v>31</v>
      </c>
      <c r="D2" s="2" t="s">
        <v>32</v>
      </c>
      <c r="E2" s="2" t="s">
        <v>33</v>
      </c>
      <c r="F2" s="12">
        <v>110.19199999999999</v>
      </c>
      <c r="G2" s="12">
        <v>90.746099999999998</v>
      </c>
      <c r="H2" s="12">
        <f t="shared" ref="H2:H228" si="0">G2*F2</f>
        <v>9999.4942511999998</v>
      </c>
      <c r="I2" s="2" t="s">
        <v>34</v>
      </c>
    </row>
    <row r="3" spans="1:9" ht="14.25" customHeight="1" x14ac:dyDescent="0.45">
      <c r="A3" s="2" t="s">
        <v>26</v>
      </c>
      <c r="B3" s="8" t="s">
        <v>37</v>
      </c>
      <c r="C3" s="2" t="s">
        <v>38</v>
      </c>
      <c r="D3" s="2" t="s">
        <v>39</v>
      </c>
      <c r="E3" s="2" t="s">
        <v>40</v>
      </c>
      <c r="F3" s="12">
        <v>213.31700000000001</v>
      </c>
      <c r="G3" s="12">
        <v>210.94300000000001</v>
      </c>
      <c r="H3" s="12">
        <f t="shared" si="0"/>
        <v>44997.727931000001</v>
      </c>
      <c r="I3" s="2" t="s">
        <v>34</v>
      </c>
    </row>
    <row r="4" spans="1:9" ht="14.25" customHeight="1" x14ac:dyDescent="0.45">
      <c r="A4" s="2" t="s">
        <v>26</v>
      </c>
      <c r="B4" s="8">
        <v>31043145655</v>
      </c>
      <c r="C4" s="2" t="s">
        <v>45</v>
      </c>
      <c r="D4" s="2" t="s">
        <v>46</v>
      </c>
      <c r="E4" s="2" t="s">
        <v>40</v>
      </c>
      <c r="F4" s="12">
        <v>689.93799999999999</v>
      </c>
      <c r="G4" s="12">
        <v>43.48</v>
      </c>
      <c r="H4" s="12">
        <f t="shared" si="0"/>
        <v>29998.504239999998</v>
      </c>
      <c r="I4" s="2" t="s">
        <v>34</v>
      </c>
    </row>
    <row r="5" spans="1:9" ht="14.25" customHeight="1" x14ac:dyDescent="0.45">
      <c r="A5" s="2" t="s">
        <v>26</v>
      </c>
      <c r="B5" s="8">
        <v>19479811</v>
      </c>
      <c r="C5" s="2" t="s">
        <v>31</v>
      </c>
      <c r="D5" s="2" t="s">
        <v>32</v>
      </c>
      <c r="E5" s="2" t="s">
        <v>40</v>
      </c>
      <c r="F5" s="12">
        <v>668.33199999999999</v>
      </c>
      <c r="G5" s="12">
        <v>89.771299999999997</v>
      </c>
      <c r="H5" s="12">
        <f t="shared" si="0"/>
        <v>59997.032471599996</v>
      </c>
      <c r="I5" s="2" t="s">
        <v>34</v>
      </c>
    </row>
    <row r="6" spans="1:9" ht="14.25" customHeight="1" x14ac:dyDescent="0.45">
      <c r="A6" s="2" t="s">
        <v>26</v>
      </c>
      <c r="B6" s="8" t="s">
        <v>51</v>
      </c>
      <c r="C6" s="2" t="s">
        <v>52</v>
      </c>
      <c r="D6" s="2" t="s">
        <v>54</v>
      </c>
      <c r="E6" s="2" t="s">
        <v>40</v>
      </c>
      <c r="F6" s="12">
        <v>613.81500000000005</v>
      </c>
      <c r="G6" s="12">
        <v>24.4361</v>
      </c>
      <c r="H6" s="12">
        <f t="shared" si="0"/>
        <v>14999.244721500001</v>
      </c>
      <c r="I6" s="2" t="s">
        <v>34</v>
      </c>
    </row>
    <row r="7" spans="1:9" ht="14.25" customHeight="1" x14ac:dyDescent="0.45">
      <c r="A7" s="2" t="s">
        <v>26</v>
      </c>
      <c r="B7" s="8" t="s">
        <v>37</v>
      </c>
      <c r="C7" s="2" t="s">
        <v>38</v>
      </c>
      <c r="D7" s="2" t="s">
        <v>39</v>
      </c>
      <c r="E7" s="2" t="s">
        <v>59</v>
      </c>
      <c r="F7" s="12">
        <v>106.402</v>
      </c>
      <c r="G7" s="12">
        <v>211.452</v>
      </c>
      <c r="H7" s="12">
        <f t="shared" si="0"/>
        <v>22498.915703999999</v>
      </c>
      <c r="I7" s="2" t="s">
        <v>34</v>
      </c>
    </row>
    <row r="8" spans="1:9" ht="14.25" customHeight="1" x14ac:dyDescent="0.45">
      <c r="A8" s="2" t="s">
        <v>26</v>
      </c>
      <c r="B8" s="8">
        <v>31043145655</v>
      </c>
      <c r="C8" s="2" t="s">
        <v>45</v>
      </c>
      <c r="D8" s="2" t="s">
        <v>46</v>
      </c>
      <c r="E8" s="2" t="s">
        <v>59</v>
      </c>
      <c r="F8" s="12">
        <v>173.84399999999999</v>
      </c>
      <c r="G8" s="12">
        <v>43.14</v>
      </c>
      <c r="H8" s="12">
        <f t="shared" si="0"/>
        <v>7499.6301599999997</v>
      </c>
      <c r="I8" s="2" t="s">
        <v>34</v>
      </c>
    </row>
    <row r="9" spans="1:9" ht="14.25" customHeight="1" x14ac:dyDescent="0.45">
      <c r="A9" s="2" t="s">
        <v>26</v>
      </c>
      <c r="B9" s="8">
        <v>19479811</v>
      </c>
      <c r="C9" s="2" t="s">
        <v>31</v>
      </c>
      <c r="D9" s="2" t="s">
        <v>32</v>
      </c>
      <c r="E9" s="2" t="s">
        <v>59</v>
      </c>
      <c r="F9" s="12">
        <v>336.03100000000001</v>
      </c>
      <c r="G9" s="12">
        <v>89.272900000000007</v>
      </c>
      <c r="H9" s="12">
        <f t="shared" si="0"/>
        <v>29998.461859900002</v>
      </c>
      <c r="I9" s="2" t="s">
        <v>34</v>
      </c>
    </row>
    <row r="10" spans="1:9" ht="14.25" customHeight="1" x14ac:dyDescent="0.45">
      <c r="A10" s="2" t="s">
        <v>26</v>
      </c>
      <c r="B10" s="8" t="s">
        <v>51</v>
      </c>
      <c r="C10" s="2" t="s">
        <v>52</v>
      </c>
      <c r="D10" s="2" t="s">
        <v>54</v>
      </c>
      <c r="E10" s="2" t="s">
        <v>59</v>
      </c>
      <c r="F10" s="12">
        <v>610.37599999999998</v>
      </c>
      <c r="G10" s="12">
        <v>24.573799999999999</v>
      </c>
      <c r="H10" s="12">
        <f t="shared" si="0"/>
        <v>14999.257748799999</v>
      </c>
      <c r="I10" s="2" t="s">
        <v>34</v>
      </c>
    </row>
    <row r="11" spans="1:9" ht="14.25" customHeight="1" x14ac:dyDescent="0.45">
      <c r="A11" s="2" t="s">
        <v>26</v>
      </c>
      <c r="B11" s="8" t="s">
        <v>37</v>
      </c>
      <c r="C11" s="2" t="s">
        <v>74</v>
      </c>
      <c r="D11" s="2" t="s">
        <v>75</v>
      </c>
      <c r="E11" s="2" t="s">
        <v>76</v>
      </c>
      <c r="F11" s="12">
        <v>0.55000000000000004</v>
      </c>
      <c r="G11" s="12">
        <v>5395.7073</v>
      </c>
      <c r="H11" s="12">
        <f t="shared" si="0"/>
        <v>2967.6390150000002</v>
      </c>
      <c r="I11" s="2" t="s">
        <v>34</v>
      </c>
    </row>
    <row r="12" spans="1:9" ht="14.25" customHeight="1" x14ac:dyDescent="0.45">
      <c r="A12" s="2" t="s">
        <v>26</v>
      </c>
      <c r="B12" s="8">
        <v>19479811</v>
      </c>
      <c r="C12" s="2" t="s">
        <v>81</v>
      </c>
      <c r="D12" s="2" t="s">
        <v>82</v>
      </c>
      <c r="E12" s="2" t="s">
        <v>76</v>
      </c>
      <c r="F12" s="12">
        <v>78.960999999999999</v>
      </c>
      <c r="G12" s="12">
        <v>1519.6672000000001</v>
      </c>
      <c r="H12" s="12">
        <f t="shared" si="0"/>
        <v>119994.4417792</v>
      </c>
      <c r="I12" s="2" t="s">
        <v>34</v>
      </c>
    </row>
    <row r="13" spans="1:9" ht="14.25" customHeight="1" x14ac:dyDescent="0.45">
      <c r="A13" s="2" t="s">
        <v>26</v>
      </c>
      <c r="B13" s="8" t="s">
        <v>37</v>
      </c>
      <c r="C13" s="2" t="s">
        <v>38</v>
      </c>
      <c r="D13" s="2" t="s">
        <v>39</v>
      </c>
      <c r="E13" s="2" t="s">
        <v>89</v>
      </c>
      <c r="F13" s="13">
        <v>58.933</v>
      </c>
      <c r="G13" s="12">
        <v>203.61199999999999</v>
      </c>
      <c r="H13" s="12">
        <f t="shared" si="0"/>
        <v>11999.465995999999</v>
      </c>
      <c r="I13" s="2" t="s">
        <v>34</v>
      </c>
    </row>
    <row r="14" spans="1:9" ht="14.25" customHeight="1" x14ac:dyDescent="0.45">
      <c r="A14" s="2" t="s">
        <v>26</v>
      </c>
      <c r="B14" s="8">
        <v>31043145655</v>
      </c>
      <c r="C14" s="2" t="s">
        <v>45</v>
      </c>
      <c r="D14" s="2" t="s">
        <v>46</v>
      </c>
      <c r="E14" s="2" t="s">
        <v>89</v>
      </c>
      <c r="F14" s="13">
        <v>94.558000000000007</v>
      </c>
      <c r="G14" s="12">
        <v>42.3</v>
      </c>
      <c r="H14" s="12">
        <f t="shared" si="0"/>
        <v>3999.8034000000002</v>
      </c>
      <c r="I14" s="2" t="s">
        <v>34</v>
      </c>
    </row>
    <row r="15" spans="1:9" ht="14.25" customHeight="1" x14ac:dyDescent="0.45">
      <c r="A15" s="2" t="s">
        <v>26</v>
      </c>
      <c r="B15" s="8">
        <v>19479811</v>
      </c>
      <c r="C15" s="2" t="s">
        <v>31</v>
      </c>
      <c r="D15" s="2" t="s">
        <v>32</v>
      </c>
      <c r="E15" s="2" t="s">
        <v>89</v>
      </c>
      <c r="F15" s="13">
        <v>182.416</v>
      </c>
      <c r="G15" s="12">
        <v>87.7072</v>
      </c>
      <c r="H15" s="12">
        <f t="shared" si="0"/>
        <v>15999.196595199999</v>
      </c>
      <c r="I15" s="2" t="s">
        <v>34</v>
      </c>
    </row>
    <row r="16" spans="1:9" ht="14.25" customHeight="1" x14ac:dyDescent="0.45">
      <c r="A16" s="2" t="s">
        <v>26</v>
      </c>
      <c r="B16" s="8" t="s">
        <v>51</v>
      </c>
      <c r="C16" s="2" t="s">
        <v>52</v>
      </c>
      <c r="D16" s="2" t="s">
        <v>54</v>
      </c>
      <c r="E16" s="2" t="s">
        <v>89</v>
      </c>
      <c r="F16" s="13">
        <v>340.11500000000001</v>
      </c>
      <c r="G16" s="12">
        <v>23.520299999999999</v>
      </c>
      <c r="H16" s="12">
        <f t="shared" si="0"/>
        <v>7999.6068344999994</v>
      </c>
      <c r="I16" s="2" t="s">
        <v>34</v>
      </c>
    </row>
    <row r="17" spans="1:9" ht="14.25" customHeight="1" x14ac:dyDescent="0.45">
      <c r="A17" s="2" t="s">
        <v>26</v>
      </c>
      <c r="B17" s="8" t="s">
        <v>37</v>
      </c>
      <c r="C17" s="2" t="s">
        <v>38</v>
      </c>
      <c r="D17" s="2" t="s">
        <v>39</v>
      </c>
      <c r="E17" s="21">
        <v>46105</v>
      </c>
      <c r="F17" s="22">
        <v>147.87200000000001</v>
      </c>
      <c r="G17" s="22">
        <v>202.86799999999999</v>
      </c>
      <c r="H17" s="12">
        <f t="shared" si="0"/>
        <v>29998.496896000001</v>
      </c>
      <c r="I17" s="2" t="s">
        <v>34</v>
      </c>
    </row>
    <row r="18" spans="1:9" ht="14.25" customHeight="1" x14ac:dyDescent="0.45">
      <c r="A18" s="2" t="s">
        <v>26</v>
      </c>
      <c r="B18" s="8">
        <v>31043145655</v>
      </c>
      <c r="C18" s="2" t="s">
        <v>45</v>
      </c>
      <c r="D18" s="2" t="s">
        <v>46</v>
      </c>
      <c r="E18" s="21">
        <v>46105</v>
      </c>
      <c r="F18" s="22">
        <v>239.39400000000001</v>
      </c>
      <c r="G18" s="22">
        <v>41.77</v>
      </c>
      <c r="H18" s="12">
        <f t="shared" si="0"/>
        <v>9999.4873800000005</v>
      </c>
      <c r="I18" s="2" t="s">
        <v>34</v>
      </c>
    </row>
    <row r="19" spans="1:9" ht="14.25" customHeight="1" x14ac:dyDescent="0.45">
      <c r="A19" s="2" t="s">
        <v>26</v>
      </c>
      <c r="B19" s="8">
        <v>19479811</v>
      </c>
      <c r="C19" s="2" t="s">
        <v>31</v>
      </c>
      <c r="D19" s="2" t="s">
        <v>32</v>
      </c>
      <c r="E19" s="21">
        <v>46105</v>
      </c>
      <c r="F19" s="22">
        <v>459.74400000000003</v>
      </c>
      <c r="G19" s="22">
        <v>87.000600000000006</v>
      </c>
      <c r="H19" s="12">
        <f t="shared" si="0"/>
        <v>39998.003846400003</v>
      </c>
      <c r="I19" s="2" t="s">
        <v>34</v>
      </c>
    </row>
    <row r="20" spans="1:9" ht="14.25" customHeight="1" x14ac:dyDescent="0.45">
      <c r="A20" s="2" t="s">
        <v>26</v>
      </c>
      <c r="B20" s="8" t="s">
        <v>51</v>
      </c>
      <c r="C20" s="2" t="s">
        <v>52</v>
      </c>
      <c r="D20" s="2" t="s">
        <v>54</v>
      </c>
      <c r="E20" s="21">
        <v>46105</v>
      </c>
      <c r="F20" s="22">
        <v>866.49300000000005</v>
      </c>
      <c r="G20" s="22">
        <v>23.080400000000001</v>
      </c>
      <c r="H20" s="12">
        <f t="shared" si="0"/>
        <v>19999.005037200001</v>
      </c>
      <c r="I20" s="2" t="s">
        <v>34</v>
      </c>
    </row>
    <row r="21" spans="1:9" ht="14.25" customHeight="1" x14ac:dyDescent="0.45">
      <c r="A21" s="2" t="s">
        <v>26</v>
      </c>
      <c r="B21" s="8" t="s">
        <v>37</v>
      </c>
      <c r="C21" s="2" t="s">
        <v>38</v>
      </c>
      <c r="D21" s="2" t="s">
        <v>39</v>
      </c>
      <c r="E21" s="21">
        <v>46108</v>
      </c>
      <c r="F21" s="13">
        <v>61.26</v>
      </c>
      <c r="G21" s="12">
        <v>204.03800000000001</v>
      </c>
      <c r="H21" s="12">
        <f t="shared" si="0"/>
        <v>12499.36788</v>
      </c>
      <c r="I21" s="2" t="s">
        <v>34</v>
      </c>
    </row>
    <row r="22" spans="1:9" ht="14.25" customHeight="1" x14ac:dyDescent="0.45">
      <c r="A22" s="2" t="s">
        <v>26</v>
      </c>
      <c r="B22" s="8">
        <v>31043145655</v>
      </c>
      <c r="C22" s="2" t="s">
        <v>45</v>
      </c>
      <c r="D22" s="2" t="s">
        <v>46</v>
      </c>
      <c r="E22" s="21">
        <v>46108</v>
      </c>
      <c r="F22" s="13">
        <v>297.25</v>
      </c>
      <c r="G22" s="12">
        <v>42.05</v>
      </c>
      <c r="H22" s="12">
        <f t="shared" si="0"/>
        <v>12499.362499999999</v>
      </c>
      <c r="I22" s="2" t="s">
        <v>34</v>
      </c>
    </row>
    <row r="23" spans="1:9" ht="14.25" customHeight="1" x14ac:dyDescent="0.45">
      <c r="A23" s="2" t="s">
        <v>26</v>
      </c>
      <c r="B23" s="8">
        <v>19479811</v>
      </c>
      <c r="C23" s="2" t="s">
        <v>31</v>
      </c>
      <c r="D23" s="2" t="s">
        <v>32</v>
      </c>
      <c r="E23" s="21">
        <v>46108</v>
      </c>
      <c r="F23" s="13">
        <v>144.59299999999999</v>
      </c>
      <c r="G23" s="12">
        <v>86.4452</v>
      </c>
      <c r="H23" s="12">
        <f t="shared" si="0"/>
        <v>12499.370803599999</v>
      </c>
      <c r="I23" s="2" t="s">
        <v>34</v>
      </c>
    </row>
    <row r="24" spans="1:9" ht="14.25" customHeight="1" x14ac:dyDescent="0.45">
      <c r="A24" s="2" t="s">
        <v>26</v>
      </c>
      <c r="B24" s="8" t="s">
        <v>51</v>
      </c>
      <c r="C24" s="2" t="s">
        <v>52</v>
      </c>
      <c r="D24" s="2" t="s">
        <v>54</v>
      </c>
      <c r="E24" s="21">
        <v>46108</v>
      </c>
      <c r="F24" s="13">
        <v>543.86699999999996</v>
      </c>
      <c r="G24" s="12">
        <v>22.982399999999998</v>
      </c>
      <c r="H24" s="12">
        <f t="shared" si="0"/>
        <v>12499.368940799999</v>
      </c>
      <c r="I24" s="2" t="s">
        <v>34</v>
      </c>
    </row>
    <row r="25" spans="1:9" ht="14.25" customHeight="1" x14ac:dyDescent="0.45">
      <c r="A25" s="2" t="s">
        <v>26</v>
      </c>
      <c r="B25" s="8" t="s">
        <v>37</v>
      </c>
      <c r="C25" s="2" t="s">
        <v>38</v>
      </c>
      <c r="D25" s="2" t="s">
        <v>39</v>
      </c>
      <c r="E25" s="21">
        <v>46111</v>
      </c>
      <c r="F25" s="13">
        <v>62.68</v>
      </c>
      <c r="G25" s="12">
        <v>199.417</v>
      </c>
      <c r="H25" s="12">
        <f t="shared" si="0"/>
        <v>12499.457560000001</v>
      </c>
      <c r="I25" s="2" t="s">
        <v>34</v>
      </c>
    </row>
    <row r="26" spans="1:9" ht="14.25" customHeight="1" x14ac:dyDescent="0.45">
      <c r="A26" s="2" t="s">
        <v>26</v>
      </c>
      <c r="B26" s="8">
        <v>31043145655</v>
      </c>
      <c r="C26" s="2" t="s">
        <v>45</v>
      </c>
      <c r="D26" s="2" t="s">
        <v>46</v>
      </c>
      <c r="E26" s="21">
        <v>46111</v>
      </c>
      <c r="F26" s="13">
        <v>304.49200000000002</v>
      </c>
      <c r="G26" s="12">
        <v>41.05</v>
      </c>
      <c r="H26" s="12">
        <f t="shared" si="0"/>
        <v>12499.3966</v>
      </c>
      <c r="I26" s="2" t="s">
        <v>34</v>
      </c>
    </row>
    <row r="27" spans="1:9" ht="14.25" customHeight="1" x14ac:dyDescent="0.45">
      <c r="A27" s="2" t="s">
        <v>26</v>
      </c>
      <c r="B27" s="8">
        <v>19479811</v>
      </c>
      <c r="C27" s="2" t="s">
        <v>31</v>
      </c>
      <c r="D27" s="2" t="s">
        <v>32</v>
      </c>
      <c r="E27" s="21">
        <v>46111</v>
      </c>
      <c r="F27" s="13">
        <v>146.60300000000001</v>
      </c>
      <c r="G27" s="12">
        <v>85.259900000000002</v>
      </c>
      <c r="H27" s="12">
        <f t="shared" si="0"/>
        <v>12499.3571197</v>
      </c>
      <c r="I27" s="2" t="s">
        <v>34</v>
      </c>
    </row>
    <row r="28" spans="1:9" ht="14.25" customHeight="1" x14ac:dyDescent="0.45">
      <c r="A28" s="2" t="s">
        <v>26</v>
      </c>
      <c r="B28" s="8" t="s">
        <v>51</v>
      </c>
      <c r="C28" s="2" t="s">
        <v>52</v>
      </c>
      <c r="D28" s="2" t="s">
        <v>54</v>
      </c>
      <c r="E28" s="21">
        <v>46111</v>
      </c>
      <c r="F28" s="13">
        <v>558.98900000000003</v>
      </c>
      <c r="G28" s="12">
        <v>22.360700000000001</v>
      </c>
      <c r="H28" s="12">
        <f t="shared" si="0"/>
        <v>12499.385332300002</v>
      </c>
      <c r="I28" s="2" t="s">
        <v>34</v>
      </c>
    </row>
    <row r="29" spans="1:9" ht="14.25" customHeight="1" x14ac:dyDescent="0.45">
      <c r="A29" s="2" t="s">
        <v>26</v>
      </c>
      <c r="B29" s="8" t="s">
        <v>51</v>
      </c>
      <c r="C29" s="2" t="s">
        <v>52</v>
      </c>
      <c r="D29" s="2" t="s">
        <v>54</v>
      </c>
      <c r="E29" s="21">
        <v>46114</v>
      </c>
      <c r="F29" s="13">
        <v>544.51199999999994</v>
      </c>
      <c r="G29" s="12">
        <v>22.96</v>
      </c>
      <c r="H29" s="12">
        <f t="shared" si="0"/>
        <v>12501.995519999999</v>
      </c>
      <c r="I29" s="2" t="s">
        <v>34</v>
      </c>
    </row>
    <row r="30" spans="1:9" ht="14.25" customHeight="1" x14ac:dyDescent="0.45">
      <c r="A30" s="2" t="s">
        <v>26</v>
      </c>
      <c r="B30" s="8">
        <v>19479811</v>
      </c>
      <c r="C30" s="2" t="s">
        <v>31</v>
      </c>
      <c r="D30" s="2" t="s">
        <v>32</v>
      </c>
      <c r="E30" s="21">
        <v>46114</v>
      </c>
      <c r="F30" s="13">
        <v>144.47</v>
      </c>
      <c r="G30" s="12">
        <v>86.52</v>
      </c>
      <c r="H30" s="12">
        <f t="shared" si="0"/>
        <v>12499.544399999999</v>
      </c>
      <c r="I30" s="2" t="s">
        <v>34</v>
      </c>
    </row>
    <row r="31" spans="1:9" ht="14.25" customHeight="1" x14ac:dyDescent="0.45">
      <c r="A31" s="2" t="s">
        <v>26</v>
      </c>
      <c r="B31" s="8">
        <v>31043145655</v>
      </c>
      <c r="C31" s="2" t="s">
        <v>45</v>
      </c>
      <c r="D31" s="2" t="s">
        <v>46</v>
      </c>
      <c r="E31" s="21">
        <v>46114</v>
      </c>
      <c r="F31" s="13">
        <v>298.10000000000002</v>
      </c>
      <c r="G31" s="12">
        <v>41.93</v>
      </c>
      <c r="H31" s="12">
        <f t="shared" si="0"/>
        <v>12499.333000000001</v>
      </c>
      <c r="I31" s="2" t="s">
        <v>34</v>
      </c>
    </row>
    <row r="32" spans="1:9" ht="14.25" customHeight="1" x14ac:dyDescent="0.45">
      <c r="A32" s="2" t="s">
        <v>26</v>
      </c>
      <c r="B32" s="8" t="s">
        <v>37</v>
      </c>
      <c r="C32" s="2" t="s">
        <v>38</v>
      </c>
      <c r="D32" s="2" t="s">
        <v>39</v>
      </c>
      <c r="E32" s="21">
        <v>46114</v>
      </c>
      <c r="F32" s="13">
        <v>61.8</v>
      </c>
      <c r="G32" s="12">
        <v>202.24</v>
      </c>
      <c r="H32" s="12">
        <f t="shared" si="0"/>
        <v>12498.432000000001</v>
      </c>
      <c r="I32" s="2" t="s">
        <v>34</v>
      </c>
    </row>
    <row r="33" spans="1:9" ht="14.25" customHeight="1" x14ac:dyDescent="0.45">
      <c r="A33" s="2" t="s">
        <v>30</v>
      </c>
      <c r="B33" s="8">
        <v>51030997796</v>
      </c>
      <c r="C33" s="2" t="s">
        <v>128</v>
      </c>
      <c r="D33" s="2" t="s">
        <v>129</v>
      </c>
      <c r="E33" s="2" t="s">
        <v>130</v>
      </c>
      <c r="F33" s="12">
        <v>584.25099999999998</v>
      </c>
      <c r="G33" s="12">
        <v>171.15</v>
      </c>
      <c r="H33" s="12">
        <f t="shared" si="0"/>
        <v>99994.558650000006</v>
      </c>
      <c r="I33" s="2" t="s">
        <v>34</v>
      </c>
    </row>
    <row r="34" spans="1:9" ht="14.25" customHeight="1" x14ac:dyDescent="0.45">
      <c r="A34" s="2" t="s">
        <v>30</v>
      </c>
      <c r="B34" s="8">
        <v>13418855</v>
      </c>
      <c r="C34" s="2" t="s">
        <v>131</v>
      </c>
      <c r="D34" s="2" t="s">
        <v>132</v>
      </c>
      <c r="E34" s="2" t="s">
        <v>133</v>
      </c>
      <c r="F34" s="12">
        <v>195.88300000000001</v>
      </c>
      <c r="G34" s="12">
        <v>50.89</v>
      </c>
      <c r="H34" s="12">
        <f t="shared" si="0"/>
        <v>9968.4858700000004</v>
      </c>
      <c r="I34" s="2" t="s">
        <v>34</v>
      </c>
    </row>
    <row r="35" spans="1:9" ht="14.25" customHeight="1" x14ac:dyDescent="0.45">
      <c r="A35" s="2" t="s">
        <v>30</v>
      </c>
      <c r="B35" s="8">
        <v>3951913</v>
      </c>
      <c r="C35" s="2" t="s">
        <v>134</v>
      </c>
      <c r="D35" s="2" t="s">
        <v>135</v>
      </c>
      <c r="E35" s="2" t="s">
        <v>136</v>
      </c>
      <c r="F35" s="12">
        <v>2057.4090000000001</v>
      </c>
      <c r="G35" s="12">
        <v>49.19</v>
      </c>
      <c r="H35" s="12">
        <f t="shared" si="0"/>
        <v>101203.94871</v>
      </c>
      <c r="I35" s="2" t="s">
        <v>34</v>
      </c>
    </row>
    <row r="36" spans="1:9" ht="14.25" customHeight="1" x14ac:dyDescent="0.45">
      <c r="A36" s="2" t="s">
        <v>30</v>
      </c>
      <c r="B36" s="8">
        <v>91067398181</v>
      </c>
      <c r="C36" s="2" t="s">
        <v>137</v>
      </c>
      <c r="D36" s="2" t="s">
        <v>138</v>
      </c>
      <c r="E36" s="2" t="s">
        <v>139</v>
      </c>
      <c r="F36" s="12">
        <v>425.07400000000001</v>
      </c>
      <c r="G36" s="12">
        <v>61.16</v>
      </c>
      <c r="H36" s="12">
        <f t="shared" si="0"/>
        <v>25997.525839999998</v>
      </c>
      <c r="I36" s="2" t="s">
        <v>34</v>
      </c>
    </row>
    <row r="37" spans="1:9" ht="14.25" customHeight="1" x14ac:dyDescent="0.45">
      <c r="A37" s="2" t="s">
        <v>30</v>
      </c>
      <c r="B37" s="8">
        <v>1126600181</v>
      </c>
      <c r="C37" s="2" t="s">
        <v>140</v>
      </c>
      <c r="D37" s="2" t="s">
        <v>141</v>
      </c>
      <c r="E37" s="2" t="s">
        <v>142</v>
      </c>
      <c r="F37" s="12">
        <v>319.24400000000003</v>
      </c>
      <c r="G37" s="12">
        <v>156.62</v>
      </c>
      <c r="H37" s="12">
        <f t="shared" si="0"/>
        <v>49999.995280000003</v>
      </c>
      <c r="I37" s="2" t="s">
        <v>34</v>
      </c>
    </row>
    <row r="38" spans="1:9" ht="14.25" customHeight="1" x14ac:dyDescent="0.45">
      <c r="A38" s="2" t="s">
        <v>30</v>
      </c>
      <c r="B38" s="8">
        <v>36612038</v>
      </c>
      <c r="C38" s="2" t="s">
        <v>143</v>
      </c>
      <c r="D38" s="2" t="s">
        <v>144</v>
      </c>
      <c r="E38" s="2" t="s">
        <v>145</v>
      </c>
      <c r="F38" s="12">
        <v>1434.932</v>
      </c>
      <c r="G38" s="12">
        <v>33.229999999999997</v>
      </c>
      <c r="H38" s="12">
        <f t="shared" si="0"/>
        <v>47682.790359999999</v>
      </c>
      <c r="I38" s="2" t="s">
        <v>34</v>
      </c>
    </row>
    <row r="39" spans="1:9" ht="14.25" customHeight="1" x14ac:dyDescent="0.45">
      <c r="A39" s="2" t="s">
        <v>30</v>
      </c>
      <c r="B39" s="8">
        <v>5088537</v>
      </c>
      <c r="C39" s="2" t="s">
        <v>146</v>
      </c>
      <c r="D39" s="2" t="s">
        <v>147</v>
      </c>
      <c r="E39" s="2" t="s">
        <v>142</v>
      </c>
      <c r="F39" s="12">
        <v>243.03200000000001</v>
      </c>
      <c r="G39" s="12">
        <v>205.73</v>
      </c>
      <c r="H39" s="12">
        <f t="shared" si="0"/>
        <v>49998.973359999996</v>
      </c>
      <c r="I39" s="2" t="s">
        <v>34</v>
      </c>
    </row>
    <row r="40" spans="1:9" ht="14.25" customHeight="1" x14ac:dyDescent="0.45">
      <c r="A40" s="2" t="s">
        <v>30</v>
      </c>
      <c r="B40" s="8">
        <v>134188855</v>
      </c>
      <c r="C40" s="2" t="s">
        <v>148</v>
      </c>
      <c r="D40" s="2" t="s">
        <v>149</v>
      </c>
      <c r="E40" s="2" t="s">
        <v>142</v>
      </c>
      <c r="F40" s="12">
        <v>106.32299999999999</v>
      </c>
      <c r="G40" s="12">
        <v>470.27</v>
      </c>
      <c r="H40" s="12">
        <f t="shared" si="0"/>
        <v>50000.517209999998</v>
      </c>
      <c r="I40" s="2" t="s">
        <v>34</v>
      </c>
    </row>
    <row r="41" spans="1:9" ht="14.25" customHeight="1" x14ac:dyDescent="0.45">
      <c r="A41" s="2" t="s">
        <v>26</v>
      </c>
      <c r="B41" s="8" t="s">
        <v>37</v>
      </c>
      <c r="C41" s="2" t="s">
        <v>38</v>
      </c>
      <c r="D41" s="2" t="s">
        <v>39</v>
      </c>
      <c r="E41" s="21">
        <v>46134</v>
      </c>
      <c r="F41" s="2">
        <v>56.402000000000001</v>
      </c>
      <c r="G41" s="12">
        <v>221.614</v>
      </c>
      <c r="H41" s="12">
        <f t="shared" si="0"/>
        <v>12499.472828</v>
      </c>
      <c r="I41" s="2" t="s">
        <v>34</v>
      </c>
    </row>
    <row r="42" spans="1:9" ht="14.25" customHeight="1" x14ac:dyDescent="0.45">
      <c r="A42" s="2" t="s">
        <v>26</v>
      </c>
      <c r="B42" s="8">
        <v>31043145655</v>
      </c>
      <c r="C42" s="2" t="s">
        <v>45</v>
      </c>
      <c r="D42" s="2" t="s">
        <v>46</v>
      </c>
      <c r="E42" s="21">
        <v>46134</v>
      </c>
      <c r="F42" s="2">
        <v>263.75599999999997</v>
      </c>
      <c r="G42" s="12">
        <v>47.39</v>
      </c>
      <c r="H42" s="12">
        <f t="shared" si="0"/>
        <v>12499.396839999999</v>
      </c>
      <c r="I42" s="2" t="s">
        <v>34</v>
      </c>
    </row>
    <row r="43" spans="1:9" ht="14.25" customHeight="1" x14ac:dyDescent="0.45">
      <c r="A43" s="2" t="s">
        <v>26</v>
      </c>
      <c r="B43" s="8">
        <v>19479811</v>
      </c>
      <c r="C43" s="2" t="s">
        <v>31</v>
      </c>
      <c r="D43" s="2" t="s">
        <v>32</v>
      </c>
      <c r="E43" s="21">
        <v>46134</v>
      </c>
      <c r="F43" s="2">
        <v>136.631</v>
      </c>
      <c r="G43" s="12">
        <v>91.483000000000004</v>
      </c>
      <c r="H43" s="12">
        <f t="shared" si="0"/>
        <v>12499.413773</v>
      </c>
      <c r="I43" s="2" t="s">
        <v>34</v>
      </c>
    </row>
    <row r="44" spans="1:9" ht="14.25" customHeight="1" x14ac:dyDescent="0.45">
      <c r="A44" s="2" t="s">
        <v>26</v>
      </c>
      <c r="B44" s="8" t="s">
        <v>51</v>
      </c>
      <c r="C44" s="2" t="s">
        <v>52</v>
      </c>
      <c r="D44" s="2" t="s">
        <v>54</v>
      </c>
      <c r="E44" s="21">
        <v>46134</v>
      </c>
      <c r="F44" s="2">
        <v>472.90600000000001</v>
      </c>
      <c r="G44" s="12">
        <v>26.431000000000001</v>
      </c>
      <c r="H44" s="12">
        <f t="shared" si="0"/>
        <v>12499.378486000001</v>
      </c>
      <c r="I44" s="2" t="s">
        <v>34</v>
      </c>
    </row>
    <row r="45" spans="1:9" ht="14.25" customHeight="1" x14ac:dyDescent="0.45">
      <c r="A45" s="2" t="s">
        <v>26</v>
      </c>
      <c r="B45" s="8" t="s">
        <v>37</v>
      </c>
      <c r="C45" s="2" t="s">
        <v>38</v>
      </c>
      <c r="D45" s="2" t="s">
        <v>39</v>
      </c>
      <c r="E45" s="21">
        <v>46139</v>
      </c>
      <c r="F45" s="2">
        <v>4.532</v>
      </c>
      <c r="G45" s="12">
        <v>220.63800000000001</v>
      </c>
      <c r="H45" s="12">
        <f t="shared" si="0"/>
        <v>999.93141600000001</v>
      </c>
      <c r="I45" s="2" t="s">
        <v>34</v>
      </c>
    </row>
    <row r="46" spans="1:9" ht="14.25" customHeight="1" x14ac:dyDescent="0.45">
      <c r="A46" s="2" t="s">
        <v>26</v>
      </c>
      <c r="B46" s="8">
        <v>31043145655</v>
      </c>
      <c r="C46" s="2" t="s">
        <v>45</v>
      </c>
      <c r="D46" s="2" t="s">
        <v>46</v>
      </c>
      <c r="E46" s="21">
        <v>46139</v>
      </c>
      <c r="F46" s="2">
        <v>21.087</v>
      </c>
      <c r="G46" s="12">
        <v>47.42</v>
      </c>
      <c r="H46" s="12">
        <f t="shared" si="0"/>
        <v>999.94554000000005</v>
      </c>
      <c r="I46" s="2" t="s">
        <v>34</v>
      </c>
    </row>
    <row r="47" spans="1:9" ht="14.25" customHeight="1" x14ac:dyDescent="0.45">
      <c r="A47" s="2" t="s">
        <v>26</v>
      </c>
      <c r="B47" s="8">
        <v>19479811</v>
      </c>
      <c r="C47" s="2" t="s">
        <v>31</v>
      </c>
      <c r="D47" s="2" t="s">
        <v>32</v>
      </c>
      <c r="E47" s="21">
        <v>46139</v>
      </c>
      <c r="F47" s="2">
        <v>10.983000000000001</v>
      </c>
      <c r="G47" s="12">
        <v>91.041799999999995</v>
      </c>
      <c r="H47" s="12">
        <f t="shared" si="0"/>
        <v>999.91208940000001</v>
      </c>
      <c r="I47" s="2" t="s">
        <v>34</v>
      </c>
    </row>
    <row r="48" spans="1:9" ht="14.25" customHeight="1" x14ac:dyDescent="0.45">
      <c r="A48" s="2" t="s">
        <v>26</v>
      </c>
      <c r="B48" s="8" t="s">
        <v>51</v>
      </c>
      <c r="C48" s="2" t="s">
        <v>52</v>
      </c>
      <c r="D48" s="2" t="s">
        <v>54</v>
      </c>
      <c r="E48" s="21">
        <v>46139</v>
      </c>
      <c r="F48" s="2">
        <v>38.125999999999998</v>
      </c>
      <c r="G48" s="12">
        <v>26.227599999999999</v>
      </c>
      <c r="H48" s="12">
        <f t="shared" si="0"/>
        <v>999.95347759999993</v>
      </c>
      <c r="I48" s="2" t="s">
        <v>34</v>
      </c>
    </row>
    <row r="49" spans="1:9" ht="14.25" customHeight="1" x14ac:dyDescent="0.45">
      <c r="A49" s="2" t="s">
        <v>26</v>
      </c>
      <c r="B49" s="8" t="s">
        <v>37</v>
      </c>
      <c r="C49" s="2" t="s">
        <v>38</v>
      </c>
      <c r="D49" s="2" t="s">
        <v>39</v>
      </c>
      <c r="E49" s="21">
        <v>46142</v>
      </c>
      <c r="F49" s="2">
        <v>4.593</v>
      </c>
      <c r="G49" s="12">
        <v>217.72</v>
      </c>
      <c r="H49" s="12">
        <f t="shared" si="0"/>
        <v>999.98796000000004</v>
      </c>
      <c r="I49" s="2" t="s">
        <v>34</v>
      </c>
    </row>
    <row r="50" spans="1:9" ht="14.25" customHeight="1" x14ac:dyDescent="0.45">
      <c r="A50" s="2" t="s">
        <v>26</v>
      </c>
      <c r="B50" s="8" t="s">
        <v>37</v>
      </c>
      <c r="C50" s="2" t="s">
        <v>38</v>
      </c>
      <c r="D50" s="2" t="s">
        <v>39</v>
      </c>
      <c r="E50" s="21">
        <v>46142</v>
      </c>
      <c r="F50" s="2">
        <v>4.593</v>
      </c>
      <c r="G50" s="12">
        <v>217.72</v>
      </c>
      <c r="H50" s="12">
        <f t="shared" si="0"/>
        <v>999.98796000000004</v>
      </c>
      <c r="I50" s="2" t="s">
        <v>34</v>
      </c>
    </row>
    <row r="51" spans="1:9" ht="14.25" customHeight="1" x14ac:dyDescent="0.45">
      <c r="A51" s="2" t="s">
        <v>26</v>
      </c>
      <c r="B51" s="8" t="s">
        <v>37</v>
      </c>
      <c r="C51" s="2" t="s">
        <v>38</v>
      </c>
      <c r="D51" s="2" t="s">
        <v>39</v>
      </c>
      <c r="E51" s="21">
        <v>46142</v>
      </c>
      <c r="F51" s="2">
        <v>32.15</v>
      </c>
      <c r="G51" s="12">
        <v>217.72</v>
      </c>
      <c r="H51" s="12">
        <f t="shared" si="0"/>
        <v>6999.6979999999994</v>
      </c>
      <c r="I51" s="2" t="s">
        <v>34</v>
      </c>
    </row>
    <row r="52" spans="1:9" ht="14.25" customHeight="1" x14ac:dyDescent="0.45">
      <c r="A52" s="2" t="s">
        <v>26</v>
      </c>
      <c r="B52" s="8">
        <v>31043145655</v>
      </c>
      <c r="C52" s="2" t="s">
        <v>45</v>
      </c>
      <c r="D52" s="2" t="s">
        <v>46</v>
      </c>
      <c r="E52" s="21">
        <v>46142</v>
      </c>
      <c r="F52" s="2">
        <v>21.338999999999999</v>
      </c>
      <c r="G52" s="12">
        <v>46.86</v>
      </c>
      <c r="H52" s="12">
        <f t="shared" si="0"/>
        <v>999.94553999999994</v>
      </c>
      <c r="I52" s="2" t="s">
        <v>34</v>
      </c>
    </row>
    <row r="53" spans="1:9" ht="14.25" customHeight="1" x14ac:dyDescent="0.45">
      <c r="A53" s="2" t="s">
        <v>26</v>
      </c>
      <c r="B53" s="8">
        <v>31043145655</v>
      </c>
      <c r="C53" s="2" t="s">
        <v>45</v>
      </c>
      <c r="D53" s="2" t="s">
        <v>46</v>
      </c>
      <c r="E53" s="21">
        <v>46142</v>
      </c>
      <c r="F53" s="2">
        <v>149.374</v>
      </c>
      <c r="G53" s="12">
        <v>46.86</v>
      </c>
      <c r="H53" s="12">
        <f t="shared" si="0"/>
        <v>6999.6656399999993</v>
      </c>
      <c r="I53" s="2" t="s">
        <v>34</v>
      </c>
    </row>
    <row r="54" spans="1:9" ht="14.25" customHeight="1" x14ac:dyDescent="0.45">
      <c r="A54" s="2" t="s">
        <v>26</v>
      </c>
      <c r="B54" s="8">
        <v>31043145655</v>
      </c>
      <c r="C54" s="2" t="s">
        <v>45</v>
      </c>
      <c r="D54" s="2" t="s">
        <v>46</v>
      </c>
      <c r="E54" s="21">
        <v>46142</v>
      </c>
      <c r="F54" s="2">
        <v>21.338999999999999</v>
      </c>
      <c r="G54" s="12">
        <v>46.86</v>
      </c>
      <c r="H54" s="12">
        <f t="shared" si="0"/>
        <v>999.94553999999994</v>
      </c>
      <c r="I54" s="2" t="s">
        <v>34</v>
      </c>
    </row>
    <row r="55" spans="1:9" ht="14.25" customHeight="1" x14ac:dyDescent="0.45">
      <c r="A55" s="2" t="s">
        <v>26</v>
      </c>
      <c r="B55" s="8">
        <v>19479811</v>
      </c>
      <c r="C55" s="2" t="s">
        <v>31</v>
      </c>
      <c r="D55" s="2" t="s">
        <v>32</v>
      </c>
      <c r="E55" s="21">
        <v>46142</v>
      </c>
      <c r="F55" s="2">
        <v>10.954000000000001</v>
      </c>
      <c r="G55" s="12">
        <v>91.290199999999999</v>
      </c>
      <c r="H55" s="12">
        <f t="shared" si="0"/>
        <v>999.99285080000004</v>
      </c>
      <c r="I55" s="2" t="s">
        <v>34</v>
      </c>
    </row>
    <row r="56" spans="1:9" ht="14.25" customHeight="1" x14ac:dyDescent="0.45">
      <c r="A56" s="2" t="s">
        <v>26</v>
      </c>
      <c r="B56" s="8">
        <v>19479811</v>
      </c>
      <c r="C56" s="2" t="s">
        <v>31</v>
      </c>
      <c r="D56" s="2" t="s">
        <v>32</v>
      </c>
      <c r="E56" s="21">
        <v>46142</v>
      </c>
      <c r="F56" s="2">
        <v>10.954000000000001</v>
      </c>
      <c r="G56" s="12">
        <v>91.290199999999999</v>
      </c>
      <c r="H56" s="12">
        <f t="shared" si="0"/>
        <v>999.99285080000004</v>
      </c>
      <c r="I56" s="2" t="s">
        <v>34</v>
      </c>
    </row>
    <row r="57" spans="1:9" ht="14.25" customHeight="1" x14ac:dyDescent="0.45">
      <c r="A57" s="2" t="s">
        <v>26</v>
      </c>
      <c r="B57" s="8">
        <v>19479811</v>
      </c>
      <c r="C57" s="2" t="s">
        <v>31</v>
      </c>
      <c r="D57" s="2" t="s">
        <v>32</v>
      </c>
      <c r="E57" s="21">
        <v>46142</v>
      </c>
      <c r="F57" s="2">
        <v>76.674999999999997</v>
      </c>
      <c r="G57" s="12">
        <v>91.290199999999999</v>
      </c>
      <c r="H57" s="12">
        <f t="shared" si="0"/>
        <v>6999.6760850000001</v>
      </c>
      <c r="I57" s="2" t="s">
        <v>34</v>
      </c>
    </row>
    <row r="58" spans="1:9" ht="14.25" customHeight="1" x14ac:dyDescent="0.45">
      <c r="A58" s="2" t="s">
        <v>26</v>
      </c>
      <c r="B58" s="8" t="s">
        <v>51</v>
      </c>
      <c r="C58" s="2" t="s">
        <v>52</v>
      </c>
      <c r="D58" s="2" t="s">
        <v>54</v>
      </c>
      <c r="E58" s="21">
        <v>46142</v>
      </c>
      <c r="F58" s="2">
        <v>38.747</v>
      </c>
      <c r="G58" s="12">
        <v>25.807099999999998</v>
      </c>
      <c r="H58" s="12">
        <f t="shared" si="0"/>
        <v>999.94770369999992</v>
      </c>
      <c r="I58" s="2" t="s">
        <v>34</v>
      </c>
    </row>
    <row r="59" spans="1:9" ht="14.25" customHeight="1" x14ac:dyDescent="0.45">
      <c r="A59" s="2" t="s">
        <v>26</v>
      </c>
      <c r="B59" s="8" t="s">
        <v>51</v>
      </c>
      <c r="C59" s="2" t="s">
        <v>52</v>
      </c>
      <c r="D59" s="2" t="s">
        <v>54</v>
      </c>
      <c r="E59" s="21">
        <v>46142</v>
      </c>
      <c r="F59" s="2">
        <v>38.747</v>
      </c>
      <c r="G59" s="12">
        <v>25.807099999999998</v>
      </c>
      <c r="H59" s="12">
        <f t="shared" si="0"/>
        <v>999.94770369999992</v>
      </c>
      <c r="I59" s="2" t="s">
        <v>34</v>
      </c>
    </row>
    <row r="60" spans="1:9" ht="14.25" customHeight="1" x14ac:dyDescent="0.45">
      <c r="A60" s="2" t="s">
        <v>26</v>
      </c>
      <c r="B60" s="8" t="s">
        <v>51</v>
      </c>
      <c r="C60" s="2" t="s">
        <v>52</v>
      </c>
      <c r="D60" s="2" t="s">
        <v>54</v>
      </c>
      <c r="E60" s="21">
        <v>46142</v>
      </c>
      <c r="F60" s="2">
        <v>271.23</v>
      </c>
      <c r="G60" s="12">
        <v>25.807099999999998</v>
      </c>
      <c r="H60" s="12">
        <f t="shared" si="0"/>
        <v>6999.6597330000004</v>
      </c>
      <c r="I60" s="2" t="s">
        <v>34</v>
      </c>
    </row>
    <row r="61" spans="1:9" ht="14.25" customHeight="1" x14ac:dyDescent="0.45">
      <c r="A61" s="2" t="s">
        <v>26</v>
      </c>
      <c r="B61" s="8" t="s">
        <v>37</v>
      </c>
      <c r="C61" s="2" t="s">
        <v>38</v>
      </c>
      <c r="D61" s="2" t="s">
        <v>39</v>
      </c>
      <c r="E61" s="21">
        <v>46146</v>
      </c>
      <c r="F61" s="2">
        <v>4.5759999999999996</v>
      </c>
      <c r="G61" s="12">
        <v>218.53100000000001</v>
      </c>
      <c r="H61" s="12">
        <f t="shared" si="0"/>
        <v>999.99785599999996</v>
      </c>
      <c r="I61" s="2" t="s">
        <v>34</v>
      </c>
    </row>
    <row r="62" spans="1:9" ht="14.25" customHeight="1" x14ac:dyDescent="0.45">
      <c r="A62" s="2" t="s">
        <v>26</v>
      </c>
      <c r="B62" s="8" t="s">
        <v>37</v>
      </c>
      <c r="C62" s="2" t="s">
        <v>38</v>
      </c>
      <c r="D62" s="2" t="s">
        <v>39</v>
      </c>
      <c r="E62" s="21">
        <v>46146</v>
      </c>
      <c r="F62" s="2">
        <v>4.5759999999999996</v>
      </c>
      <c r="G62" s="12">
        <v>218.53100000000001</v>
      </c>
      <c r="H62" s="12">
        <f t="shared" si="0"/>
        <v>999.99785599999996</v>
      </c>
      <c r="I62" s="2" t="s">
        <v>34</v>
      </c>
    </row>
    <row r="63" spans="1:9" ht="14.25" customHeight="1" x14ac:dyDescent="0.45">
      <c r="A63" s="2" t="s">
        <v>26</v>
      </c>
      <c r="B63" s="8">
        <v>31043145655</v>
      </c>
      <c r="C63" s="2" t="s">
        <v>45</v>
      </c>
      <c r="D63" s="2" t="s">
        <v>46</v>
      </c>
      <c r="E63" s="21">
        <v>46146</v>
      </c>
      <c r="F63" s="2">
        <v>21.096</v>
      </c>
      <c r="G63" s="12">
        <v>47.4</v>
      </c>
      <c r="H63" s="12">
        <f t="shared" si="0"/>
        <v>999.95039999999995</v>
      </c>
      <c r="I63" s="2" t="s">
        <v>34</v>
      </c>
    </row>
    <row r="64" spans="1:9" ht="14.25" customHeight="1" x14ac:dyDescent="0.45">
      <c r="A64" s="2" t="s">
        <v>26</v>
      </c>
      <c r="B64" s="8">
        <v>31043145655</v>
      </c>
      <c r="C64" s="2" t="s">
        <v>45</v>
      </c>
      <c r="D64" s="2" t="s">
        <v>46</v>
      </c>
      <c r="E64" s="21">
        <v>46146</v>
      </c>
      <c r="F64" s="2">
        <v>21.096</v>
      </c>
      <c r="G64" s="12">
        <v>47.4</v>
      </c>
      <c r="H64" s="12">
        <f t="shared" si="0"/>
        <v>999.95039999999995</v>
      </c>
      <c r="I64" s="2" t="s">
        <v>34</v>
      </c>
    </row>
    <row r="65" spans="1:9" ht="14.25" customHeight="1" x14ac:dyDescent="0.45">
      <c r="A65" s="2" t="s">
        <v>26</v>
      </c>
      <c r="B65" s="8">
        <v>19479811</v>
      </c>
      <c r="C65" s="2" t="s">
        <v>31</v>
      </c>
      <c r="D65" s="2" t="s">
        <v>32</v>
      </c>
      <c r="E65" s="21">
        <v>46146</v>
      </c>
      <c r="F65" s="2">
        <v>10.958</v>
      </c>
      <c r="G65" s="12">
        <v>91.257099999999994</v>
      </c>
      <c r="H65" s="12">
        <f t="shared" si="0"/>
        <v>999.99530179999999</v>
      </c>
      <c r="I65" s="2" t="s">
        <v>34</v>
      </c>
    </row>
    <row r="66" spans="1:9" ht="14.25" customHeight="1" x14ac:dyDescent="0.45">
      <c r="A66" s="2" t="s">
        <v>26</v>
      </c>
      <c r="B66" s="8">
        <v>19479811</v>
      </c>
      <c r="C66" s="2" t="s">
        <v>31</v>
      </c>
      <c r="D66" s="2" t="s">
        <v>32</v>
      </c>
      <c r="E66" s="21">
        <v>46146</v>
      </c>
      <c r="F66" s="2">
        <v>10.958</v>
      </c>
      <c r="G66" s="12">
        <v>91.257099999999994</v>
      </c>
      <c r="H66" s="12">
        <f t="shared" si="0"/>
        <v>999.99530179999999</v>
      </c>
      <c r="I66" s="2" t="s">
        <v>34</v>
      </c>
    </row>
    <row r="67" spans="1:9" ht="14.25" customHeight="1" x14ac:dyDescent="0.45">
      <c r="A67" s="2" t="s">
        <v>26</v>
      </c>
      <c r="B67" s="8" t="s">
        <v>51</v>
      </c>
      <c r="C67" s="2" t="s">
        <v>52</v>
      </c>
      <c r="D67" s="2" t="s">
        <v>54</v>
      </c>
      <c r="E67" s="21">
        <v>46146</v>
      </c>
      <c r="F67" s="2">
        <v>38.395000000000003</v>
      </c>
      <c r="G67" s="12">
        <v>26.044</v>
      </c>
      <c r="H67" s="12">
        <f t="shared" si="0"/>
        <v>999.95938000000012</v>
      </c>
      <c r="I67" s="2" t="s">
        <v>34</v>
      </c>
    </row>
    <row r="68" spans="1:9" ht="14.25" customHeight="1" x14ac:dyDescent="0.45">
      <c r="A68" s="2" t="s">
        <v>26</v>
      </c>
      <c r="B68" s="8" t="s">
        <v>51</v>
      </c>
      <c r="C68" s="2" t="s">
        <v>52</v>
      </c>
      <c r="D68" s="2" t="s">
        <v>54</v>
      </c>
      <c r="E68" s="21">
        <v>46146</v>
      </c>
      <c r="F68" s="2">
        <v>38.395000000000003</v>
      </c>
      <c r="G68" s="12">
        <v>26.044</v>
      </c>
      <c r="H68" s="12">
        <f t="shared" si="0"/>
        <v>999.95938000000012</v>
      </c>
      <c r="I68" s="2" t="s">
        <v>34</v>
      </c>
    </row>
    <row r="69" spans="1:9" ht="14.25" customHeight="1" x14ac:dyDescent="0.45">
      <c r="A69" s="2" t="s">
        <v>26</v>
      </c>
      <c r="B69" s="8" t="s">
        <v>37</v>
      </c>
      <c r="C69" s="2" t="s">
        <v>38</v>
      </c>
      <c r="D69" s="2" t="s">
        <v>39</v>
      </c>
      <c r="E69" s="21">
        <v>46148</v>
      </c>
      <c r="F69" s="2">
        <v>4.4939999999999998</v>
      </c>
      <c r="G69" s="12">
        <v>222.52500000000001</v>
      </c>
      <c r="H69" s="12">
        <f t="shared" si="0"/>
        <v>1000.02735</v>
      </c>
      <c r="I69" s="2" t="s">
        <v>34</v>
      </c>
    </row>
    <row r="70" spans="1:9" ht="14.25" customHeight="1" x14ac:dyDescent="0.45">
      <c r="A70" s="2" t="s">
        <v>26</v>
      </c>
      <c r="B70" s="8">
        <v>31043145655</v>
      </c>
      <c r="C70" s="2" t="s">
        <v>45</v>
      </c>
      <c r="D70" s="2" t="s">
        <v>46</v>
      </c>
      <c r="E70" s="21">
        <v>46148</v>
      </c>
      <c r="F70" s="2">
        <v>20.66</v>
      </c>
      <c r="G70" s="12">
        <v>48.4</v>
      </c>
      <c r="H70" s="12">
        <f t="shared" si="0"/>
        <v>999.94399999999996</v>
      </c>
      <c r="I70" s="2" t="s">
        <v>34</v>
      </c>
    </row>
    <row r="71" spans="1:9" ht="14.25" customHeight="1" x14ac:dyDescent="0.45">
      <c r="A71" s="2" t="s">
        <v>26</v>
      </c>
      <c r="B71" s="8">
        <v>19479811</v>
      </c>
      <c r="C71" s="2" t="s">
        <v>31</v>
      </c>
      <c r="D71" s="2" t="s">
        <v>32</v>
      </c>
      <c r="E71" s="21">
        <v>46148</v>
      </c>
      <c r="F71" s="2">
        <v>10.877000000000001</v>
      </c>
      <c r="G71" s="12">
        <v>91.936700000000002</v>
      </c>
      <c r="H71" s="12">
        <f t="shared" si="0"/>
        <v>999.99548590000006</v>
      </c>
      <c r="I71" s="2" t="s">
        <v>34</v>
      </c>
    </row>
    <row r="72" spans="1:9" ht="14.25" customHeight="1" x14ac:dyDescent="0.45">
      <c r="A72" s="2" t="s">
        <v>26</v>
      </c>
      <c r="B72" s="8" t="s">
        <v>51</v>
      </c>
      <c r="C72" s="2" t="s">
        <v>52</v>
      </c>
      <c r="D72" s="2" t="s">
        <v>54</v>
      </c>
      <c r="E72" s="21">
        <v>46148</v>
      </c>
      <c r="F72" s="2">
        <v>37.642000000000003</v>
      </c>
      <c r="G72" s="12">
        <v>26.565000000000001</v>
      </c>
      <c r="H72" s="12">
        <f t="shared" si="0"/>
        <v>999.95973000000015</v>
      </c>
      <c r="I72" s="2" t="s">
        <v>34</v>
      </c>
    </row>
    <row r="73" spans="1:9" ht="14.25" customHeight="1" x14ac:dyDescent="0.45">
      <c r="A73" s="2" t="s">
        <v>26</v>
      </c>
      <c r="B73" s="8" t="s">
        <v>37</v>
      </c>
      <c r="C73" s="2" t="s">
        <v>38</v>
      </c>
      <c r="D73" s="2" t="s">
        <v>39</v>
      </c>
      <c r="E73" s="21">
        <v>46149</v>
      </c>
      <c r="F73" s="2">
        <v>4.4690000000000003</v>
      </c>
      <c r="G73" s="12">
        <v>223.738</v>
      </c>
      <c r="H73" s="12">
        <f t="shared" si="0"/>
        <v>999.88512200000002</v>
      </c>
      <c r="I73" s="2" t="s">
        <v>34</v>
      </c>
    </row>
    <row r="74" spans="1:9" ht="14.25" customHeight="1" x14ac:dyDescent="0.45">
      <c r="A74" s="2" t="s">
        <v>26</v>
      </c>
      <c r="B74" s="8" t="s">
        <v>37</v>
      </c>
      <c r="C74" s="2" t="s">
        <v>38</v>
      </c>
      <c r="D74" s="2" t="s">
        <v>39</v>
      </c>
      <c r="E74" s="21">
        <v>46149</v>
      </c>
      <c r="F74" s="2">
        <v>4.4690000000000003</v>
      </c>
      <c r="G74" s="12">
        <v>223.738</v>
      </c>
      <c r="H74" s="12">
        <f t="shared" si="0"/>
        <v>999.88512200000002</v>
      </c>
      <c r="I74" s="2" t="s">
        <v>34</v>
      </c>
    </row>
    <row r="75" spans="1:9" ht="14.25" customHeight="1" x14ac:dyDescent="0.45">
      <c r="A75" s="2" t="s">
        <v>26</v>
      </c>
      <c r="B75" s="8">
        <v>31043145655</v>
      </c>
      <c r="C75" s="2" t="s">
        <v>45</v>
      </c>
      <c r="D75" s="2" t="s">
        <v>46</v>
      </c>
      <c r="E75" s="21">
        <v>46149</v>
      </c>
      <c r="F75" s="2">
        <v>20.47</v>
      </c>
      <c r="G75" s="12">
        <v>48.85</v>
      </c>
      <c r="H75" s="12">
        <f t="shared" si="0"/>
        <v>999.95949999999993</v>
      </c>
      <c r="I75" s="2" t="s">
        <v>34</v>
      </c>
    </row>
    <row r="76" spans="1:9" ht="14.25" customHeight="1" x14ac:dyDescent="0.45">
      <c r="A76" s="2" t="s">
        <v>26</v>
      </c>
      <c r="B76" s="8">
        <v>31043145655</v>
      </c>
      <c r="C76" s="2" t="s">
        <v>45</v>
      </c>
      <c r="D76" s="2" t="s">
        <v>46</v>
      </c>
      <c r="E76" s="21">
        <v>46149</v>
      </c>
      <c r="F76" s="2">
        <v>20.47</v>
      </c>
      <c r="G76" s="12">
        <v>48.85</v>
      </c>
      <c r="H76" s="12">
        <f t="shared" si="0"/>
        <v>999.95949999999993</v>
      </c>
      <c r="I76" s="2" t="s">
        <v>34</v>
      </c>
    </row>
    <row r="77" spans="1:9" ht="14.25" customHeight="1" x14ac:dyDescent="0.45">
      <c r="A77" s="2" t="s">
        <v>26</v>
      </c>
      <c r="B77" s="8">
        <v>19479811</v>
      </c>
      <c r="C77" s="2" t="s">
        <v>31</v>
      </c>
      <c r="D77" s="2" t="s">
        <v>32</v>
      </c>
      <c r="E77" s="21">
        <v>46149</v>
      </c>
      <c r="F77" s="2">
        <v>10.891999999999999</v>
      </c>
      <c r="G77" s="12">
        <v>91.806700000000006</v>
      </c>
      <c r="H77" s="12">
        <f t="shared" si="0"/>
        <v>999.95857639999997</v>
      </c>
      <c r="I77" s="2" t="s">
        <v>34</v>
      </c>
    </row>
    <row r="78" spans="1:9" ht="14.25" customHeight="1" x14ac:dyDescent="0.45">
      <c r="A78" s="2" t="s">
        <v>26</v>
      </c>
      <c r="B78" s="8">
        <v>19479811</v>
      </c>
      <c r="C78" s="2" t="s">
        <v>31</v>
      </c>
      <c r="D78" s="2" t="s">
        <v>32</v>
      </c>
      <c r="E78" s="21">
        <v>46149</v>
      </c>
      <c r="F78" s="2">
        <v>10.891999999999999</v>
      </c>
      <c r="G78" s="12">
        <v>91.806700000000006</v>
      </c>
      <c r="H78" s="12">
        <f t="shared" si="0"/>
        <v>999.95857639999997</v>
      </c>
      <c r="I78" s="2" t="s">
        <v>34</v>
      </c>
    </row>
    <row r="79" spans="1:9" ht="14.25" customHeight="1" x14ac:dyDescent="0.45">
      <c r="A79" s="2" t="s">
        <v>26</v>
      </c>
      <c r="B79" s="8" t="s">
        <v>51</v>
      </c>
      <c r="C79" s="2" t="s">
        <v>52</v>
      </c>
      <c r="D79" s="2" t="s">
        <v>54</v>
      </c>
      <c r="E79" s="21">
        <v>46149</v>
      </c>
      <c r="F79" s="2">
        <v>37.557000000000002</v>
      </c>
      <c r="G79" s="12">
        <v>26.624700000000001</v>
      </c>
      <c r="H79" s="12">
        <f t="shared" si="0"/>
        <v>999.94385790000013</v>
      </c>
      <c r="I79" s="2" t="s">
        <v>34</v>
      </c>
    </row>
    <row r="80" spans="1:9" ht="14.25" customHeight="1" x14ac:dyDescent="0.45">
      <c r="A80" s="2" t="s">
        <v>26</v>
      </c>
      <c r="B80" s="8" t="s">
        <v>51</v>
      </c>
      <c r="C80" s="2" t="s">
        <v>52</v>
      </c>
      <c r="D80" s="2" t="s">
        <v>54</v>
      </c>
      <c r="E80" s="21">
        <v>46149</v>
      </c>
      <c r="F80" s="2">
        <v>37.557000000000002</v>
      </c>
      <c r="G80" s="12">
        <v>26.624700000000001</v>
      </c>
      <c r="H80" s="12">
        <f t="shared" si="0"/>
        <v>999.94385790000013</v>
      </c>
      <c r="I80" s="2" t="s">
        <v>34</v>
      </c>
    </row>
    <row r="81" spans="1:9" ht="14.25" customHeight="1" x14ac:dyDescent="0.45">
      <c r="A81" s="2" t="s">
        <v>26</v>
      </c>
      <c r="B81" s="8" t="s">
        <v>37</v>
      </c>
      <c r="C81" s="2" t="s">
        <v>38</v>
      </c>
      <c r="D81" s="2" t="s">
        <v>39</v>
      </c>
      <c r="E81" s="21">
        <v>46150</v>
      </c>
      <c r="F81" s="2">
        <v>4.4660000000000002</v>
      </c>
      <c r="G81" s="12">
        <v>223.89500000000001</v>
      </c>
      <c r="H81" s="12">
        <f t="shared" si="0"/>
        <v>999.91507000000013</v>
      </c>
      <c r="I81" s="2" t="s">
        <v>34</v>
      </c>
    </row>
    <row r="82" spans="1:9" ht="14.25" customHeight="1" x14ac:dyDescent="0.45">
      <c r="A82" s="2" t="s">
        <v>26</v>
      </c>
      <c r="B82" s="8">
        <v>31043145655</v>
      </c>
      <c r="C82" s="2" t="s">
        <v>45</v>
      </c>
      <c r="D82" s="2" t="s">
        <v>46</v>
      </c>
      <c r="E82" s="21">
        <v>46150</v>
      </c>
      <c r="F82" s="2">
        <v>20.428000000000001</v>
      </c>
      <c r="G82" s="12">
        <v>48.95</v>
      </c>
      <c r="H82" s="12">
        <f t="shared" si="0"/>
        <v>999.95060000000012</v>
      </c>
      <c r="I82" s="2" t="s">
        <v>34</v>
      </c>
    </row>
    <row r="83" spans="1:9" ht="14.25" customHeight="1" x14ac:dyDescent="0.45">
      <c r="A83" s="2" t="s">
        <v>26</v>
      </c>
      <c r="B83" s="8">
        <v>19479811</v>
      </c>
      <c r="C83" s="2" t="s">
        <v>31</v>
      </c>
      <c r="D83" s="2" t="s">
        <v>32</v>
      </c>
      <c r="E83" s="21">
        <v>46150</v>
      </c>
      <c r="F83" s="2">
        <v>10.925000000000001</v>
      </c>
      <c r="G83" s="12">
        <v>91.524500000000003</v>
      </c>
      <c r="H83" s="12">
        <f t="shared" si="0"/>
        <v>999.90516250000007</v>
      </c>
      <c r="I83" s="2" t="s">
        <v>34</v>
      </c>
    </row>
    <row r="84" spans="1:9" ht="14.25" customHeight="1" x14ac:dyDescent="0.45">
      <c r="A84" s="2" t="s">
        <v>26</v>
      </c>
      <c r="B84" s="8" t="s">
        <v>51</v>
      </c>
      <c r="C84" s="2" t="s">
        <v>52</v>
      </c>
      <c r="D84" s="2" t="s">
        <v>54</v>
      </c>
      <c r="E84" s="21">
        <v>46150</v>
      </c>
      <c r="F84" s="2">
        <v>37.744999999999997</v>
      </c>
      <c r="G84" s="12">
        <v>26.4922</v>
      </c>
      <c r="H84" s="12">
        <f t="shared" si="0"/>
        <v>999.94808899999998</v>
      </c>
      <c r="I84" s="2" t="s">
        <v>34</v>
      </c>
    </row>
    <row r="85" spans="1:9" ht="14.25" customHeight="1" x14ac:dyDescent="0.45">
      <c r="A85" s="2" t="s">
        <v>26</v>
      </c>
      <c r="B85" s="8" t="s">
        <v>37</v>
      </c>
      <c r="C85" s="2" t="s">
        <v>38</v>
      </c>
      <c r="D85" s="2" t="s">
        <v>39</v>
      </c>
      <c r="E85" s="21">
        <v>46153</v>
      </c>
      <c r="F85" s="2">
        <v>4.5190000000000001</v>
      </c>
      <c r="G85" s="12">
        <v>221.255</v>
      </c>
      <c r="H85" s="12">
        <f t="shared" si="0"/>
        <v>999.85134500000004</v>
      </c>
      <c r="I85" s="2" t="s">
        <v>34</v>
      </c>
    </row>
    <row r="86" spans="1:9" ht="14.25" customHeight="1" x14ac:dyDescent="0.45">
      <c r="A86" s="2" t="s">
        <v>26</v>
      </c>
      <c r="B86" s="8" t="s">
        <v>37</v>
      </c>
      <c r="C86" s="2" t="s">
        <v>38</v>
      </c>
      <c r="D86" s="2" t="s">
        <v>39</v>
      </c>
      <c r="E86" s="21">
        <v>46153</v>
      </c>
      <c r="F86" s="2">
        <v>4.5190000000000001</v>
      </c>
      <c r="G86" s="12">
        <v>221.255</v>
      </c>
      <c r="H86" s="12">
        <f t="shared" si="0"/>
        <v>999.85134500000004</v>
      </c>
      <c r="I86" s="2" t="s">
        <v>34</v>
      </c>
    </row>
    <row r="87" spans="1:9" ht="14.25" customHeight="1" x14ac:dyDescent="0.45">
      <c r="A87" s="2" t="s">
        <v>26</v>
      </c>
      <c r="B87" s="8">
        <v>31043145655</v>
      </c>
      <c r="C87" s="2" t="s">
        <v>45</v>
      </c>
      <c r="D87" s="2" t="s">
        <v>46</v>
      </c>
      <c r="E87" s="21">
        <v>46153</v>
      </c>
      <c r="F87" s="2">
        <v>20.588000000000001</v>
      </c>
      <c r="G87" s="12">
        <v>48.57</v>
      </c>
      <c r="H87" s="12">
        <f t="shared" si="0"/>
        <v>999.95916</v>
      </c>
      <c r="I87" s="2" t="s">
        <v>34</v>
      </c>
    </row>
    <row r="88" spans="1:9" ht="14.25" customHeight="1" x14ac:dyDescent="0.45">
      <c r="A88" s="2" t="s">
        <v>26</v>
      </c>
      <c r="B88" s="8">
        <v>31043145655</v>
      </c>
      <c r="C88" s="2" t="s">
        <v>45</v>
      </c>
      <c r="D88" s="2" t="s">
        <v>46</v>
      </c>
      <c r="E88" s="21">
        <v>46153</v>
      </c>
      <c r="F88" s="2">
        <v>20.588000000000001</v>
      </c>
      <c r="G88" s="12">
        <v>48.57</v>
      </c>
      <c r="H88" s="12">
        <f t="shared" si="0"/>
        <v>999.95916</v>
      </c>
      <c r="I88" s="2" t="s">
        <v>34</v>
      </c>
    </row>
    <row r="89" spans="1:9" ht="14.25" customHeight="1" x14ac:dyDescent="0.45">
      <c r="A89" s="2" t="s">
        <v>26</v>
      </c>
      <c r="B89" s="8">
        <v>19479811</v>
      </c>
      <c r="C89" s="2" t="s">
        <v>31</v>
      </c>
      <c r="D89" s="2" t="s">
        <v>32</v>
      </c>
      <c r="E89" s="21">
        <v>46153</v>
      </c>
      <c r="F89" s="2">
        <v>11.009</v>
      </c>
      <c r="G89" s="12">
        <v>90.830600000000004</v>
      </c>
      <c r="H89" s="12">
        <f t="shared" si="0"/>
        <v>999.95407540000008</v>
      </c>
      <c r="I89" s="2" t="s">
        <v>34</v>
      </c>
    </row>
    <row r="90" spans="1:9" ht="14.25" customHeight="1" x14ac:dyDescent="0.45">
      <c r="A90" s="2" t="s">
        <v>26</v>
      </c>
      <c r="B90" s="8">
        <v>19479811</v>
      </c>
      <c r="C90" s="2" t="s">
        <v>31</v>
      </c>
      <c r="D90" s="2" t="s">
        <v>32</v>
      </c>
      <c r="E90" s="21">
        <v>46153</v>
      </c>
      <c r="F90" s="2">
        <v>11.009</v>
      </c>
      <c r="G90" s="12">
        <v>90.830600000000004</v>
      </c>
      <c r="H90" s="12">
        <f t="shared" si="0"/>
        <v>999.95407540000008</v>
      </c>
      <c r="I90" s="2" t="s">
        <v>34</v>
      </c>
    </row>
    <row r="91" spans="1:9" ht="14.25" customHeight="1" x14ac:dyDescent="0.45">
      <c r="A91" s="2" t="s">
        <v>26</v>
      </c>
      <c r="B91" s="8" t="s">
        <v>51</v>
      </c>
      <c r="C91" s="2" t="s">
        <v>52</v>
      </c>
      <c r="D91" s="2" t="s">
        <v>54</v>
      </c>
      <c r="E91" s="21">
        <v>46153</v>
      </c>
      <c r="F91" s="2">
        <v>38.389000000000003</v>
      </c>
      <c r="G91" s="12">
        <v>26.048100000000002</v>
      </c>
      <c r="H91" s="12">
        <f t="shared" si="0"/>
        <v>999.96051090000014</v>
      </c>
      <c r="I91" s="2" t="s">
        <v>34</v>
      </c>
    </row>
    <row r="92" spans="1:9" ht="14.25" customHeight="1" x14ac:dyDescent="0.45">
      <c r="A92" s="2" t="s">
        <v>26</v>
      </c>
      <c r="B92" s="8" t="s">
        <v>51</v>
      </c>
      <c r="C92" s="2" t="s">
        <v>52</v>
      </c>
      <c r="D92" s="2" t="s">
        <v>54</v>
      </c>
      <c r="E92" s="21">
        <v>46153</v>
      </c>
      <c r="F92" s="2">
        <v>38.389000000000003</v>
      </c>
      <c r="G92" s="12">
        <v>26.048100000000002</v>
      </c>
      <c r="H92" s="12">
        <f t="shared" si="0"/>
        <v>999.96051090000014</v>
      </c>
      <c r="I92" s="2" t="s">
        <v>34</v>
      </c>
    </row>
    <row r="93" spans="1:9" ht="14.25" customHeight="1" x14ac:dyDescent="0.45">
      <c r="A93" s="2" t="s">
        <v>26</v>
      </c>
      <c r="B93" s="8" t="s">
        <v>37</v>
      </c>
      <c r="C93" s="2" t="s">
        <v>38</v>
      </c>
      <c r="D93" s="2" t="s">
        <v>39</v>
      </c>
      <c r="E93" s="21">
        <v>46155</v>
      </c>
      <c r="F93" s="2">
        <v>4.6139999999999999</v>
      </c>
      <c r="G93" s="12">
        <v>216.71299999999999</v>
      </c>
      <c r="H93" s="12">
        <f t="shared" si="0"/>
        <v>999.91378199999997</v>
      </c>
      <c r="I93" s="2" t="s">
        <v>34</v>
      </c>
    </row>
    <row r="94" spans="1:9" ht="14.25" customHeight="1" x14ac:dyDescent="0.45">
      <c r="A94" s="2" t="s">
        <v>26</v>
      </c>
      <c r="B94" s="8" t="s">
        <v>37</v>
      </c>
      <c r="C94" s="2" t="s">
        <v>38</v>
      </c>
      <c r="D94" s="2" t="s">
        <v>39</v>
      </c>
      <c r="E94" s="21">
        <v>46155</v>
      </c>
      <c r="F94" s="2">
        <v>41.527999999999999</v>
      </c>
      <c r="G94" s="12">
        <v>216.71299999999999</v>
      </c>
      <c r="H94" s="12">
        <f t="shared" si="0"/>
        <v>8999.6574639999999</v>
      </c>
      <c r="I94" s="2" t="s">
        <v>34</v>
      </c>
    </row>
    <row r="95" spans="1:9" ht="14.25" customHeight="1" x14ac:dyDescent="0.45">
      <c r="A95" s="2" t="s">
        <v>26</v>
      </c>
      <c r="B95" s="8">
        <v>31043145655</v>
      </c>
      <c r="C95" s="2" t="s">
        <v>45</v>
      </c>
      <c r="D95" s="2" t="s">
        <v>46</v>
      </c>
      <c r="E95" s="21">
        <v>46155</v>
      </c>
      <c r="F95" s="2">
        <v>21.181000000000001</v>
      </c>
      <c r="G95" s="12">
        <v>47.21</v>
      </c>
      <c r="H95" s="12">
        <f t="shared" si="0"/>
        <v>999.95501000000002</v>
      </c>
      <c r="I95" s="2" t="s">
        <v>34</v>
      </c>
    </row>
    <row r="96" spans="1:9" ht="14.25" customHeight="1" x14ac:dyDescent="0.45">
      <c r="A96" s="2" t="s">
        <v>26</v>
      </c>
      <c r="B96" s="8">
        <v>31043145655</v>
      </c>
      <c r="C96" s="2" t="s">
        <v>45</v>
      </c>
      <c r="D96" s="2" t="s">
        <v>46</v>
      </c>
      <c r="E96" s="21">
        <v>46155</v>
      </c>
      <c r="F96" s="2">
        <v>190.62799999999999</v>
      </c>
      <c r="G96" s="12">
        <v>47.21</v>
      </c>
      <c r="H96" s="12">
        <f t="shared" si="0"/>
        <v>8999.5478800000001</v>
      </c>
      <c r="I96" s="2" t="s">
        <v>34</v>
      </c>
    </row>
    <row r="97" spans="1:9" ht="14.25" customHeight="1" x14ac:dyDescent="0.45">
      <c r="A97" s="2" t="s">
        <v>26</v>
      </c>
      <c r="B97" s="8">
        <v>19479811</v>
      </c>
      <c r="C97" s="2" t="s">
        <v>31</v>
      </c>
      <c r="D97" s="2" t="s">
        <v>32</v>
      </c>
      <c r="E97" s="21">
        <v>46155</v>
      </c>
      <c r="F97" s="2">
        <v>11.141</v>
      </c>
      <c r="G97" s="12">
        <v>89.757499999999993</v>
      </c>
      <c r="H97" s="12">
        <f t="shared" si="0"/>
        <v>999.98830749999991</v>
      </c>
      <c r="I97" s="2" t="s">
        <v>34</v>
      </c>
    </row>
    <row r="98" spans="1:9" ht="14.25" customHeight="1" x14ac:dyDescent="0.45">
      <c r="A98" s="2" t="s">
        <v>26</v>
      </c>
      <c r="B98" s="8">
        <v>19479811</v>
      </c>
      <c r="C98" s="2" t="s">
        <v>81</v>
      </c>
      <c r="D98" s="2" t="s">
        <v>82</v>
      </c>
      <c r="E98" s="21">
        <v>46155</v>
      </c>
      <c r="F98" s="2">
        <v>5.8570000000000002</v>
      </c>
      <c r="G98" s="12">
        <v>1536.5706</v>
      </c>
      <c r="H98" s="12">
        <f t="shared" si="0"/>
        <v>8999.6940042000006</v>
      </c>
      <c r="I98" s="2" t="s">
        <v>34</v>
      </c>
    </row>
    <row r="99" spans="1:9" ht="14.25" customHeight="1" x14ac:dyDescent="0.45">
      <c r="A99" s="2" t="s">
        <v>26</v>
      </c>
      <c r="B99" s="8" t="s">
        <v>51</v>
      </c>
      <c r="C99" s="2" t="s">
        <v>52</v>
      </c>
      <c r="D99" s="2" t="s">
        <v>54</v>
      </c>
      <c r="E99" s="21">
        <v>46155</v>
      </c>
      <c r="F99" s="2">
        <v>351.11799999999999</v>
      </c>
      <c r="G99" s="12">
        <v>25.6311</v>
      </c>
      <c r="H99" s="12">
        <f t="shared" si="0"/>
        <v>8999.5405697999995</v>
      </c>
      <c r="I99" s="2" t="s">
        <v>34</v>
      </c>
    </row>
    <row r="100" spans="1:9" ht="14.25" customHeight="1" x14ac:dyDescent="0.45">
      <c r="A100" s="2" t="s">
        <v>26</v>
      </c>
      <c r="B100" s="8" t="s">
        <v>51</v>
      </c>
      <c r="C100" s="2" t="s">
        <v>52</v>
      </c>
      <c r="D100" s="2" t="s">
        <v>54</v>
      </c>
      <c r="E100" s="21">
        <v>46155</v>
      </c>
      <c r="F100" s="2">
        <v>39.012999999999998</v>
      </c>
      <c r="G100" s="12">
        <v>25.6311</v>
      </c>
      <c r="H100" s="12">
        <f t="shared" si="0"/>
        <v>999.9461043</v>
      </c>
      <c r="I100" s="2" t="s">
        <v>34</v>
      </c>
    </row>
    <row r="101" spans="1:9" ht="14.25" customHeight="1" x14ac:dyDescent="0.45">
      <c r="A101" s="2" t="s">
        <v>26</v>
      </c>
      <c r="B101" s="8" t="s">
        <v>37</v>
      </c>
      <c r="C101" s="2" t="s">
        <v>38</v>
      </c>
      <c r="D101" s="2" t="s">
        <v>39</v>
      </c>
      <c r="E101" s="21">
        <v>46156</v>
      </c>
      <c r="F101" s="2">
        <v>4.5679999999999996</v>
      </c>
      <c r="G101" s="12">
        <v>218.88900000000001</v>
      </c>
      <c r="H101" s="12">
        <f t="shared" si="0"/>
        <v>999.884952</v>
      </c>
      <c r="I101" s="2" t="s">
        <v>34</v>
      </c>
    </row>
    <row r="102" spans="1:9" ht="14.25" customHeight="1" x14ac:dyDescent="0.45">
      <c r="A102" s="2" t="s">
        <v>26</v>
      </c>
      <c r="B102" s="8">
        <v>31043145655</v>
      </c>
      <c r="C102" s="2" t="s">
        <v>45</v>
      </c>
      <c r="D102" s="2" t="s">
        <v>46</v>
      </c>
      <c r="E102" s="21">
        <v>46156</v>
      </c>
      <c r="F102" s="2">
        <v>21.007000000000001</v>
      </c>
      <c r="G102" s="12">
        <v>47.6</v>
      </c>
      <c r="H102" s="12">
        <f t="shared" si="0"/>
        <v>999.93320000000006</v>
      </c>
      <c r="I102" s="2" t="s">
        <v>34</v>
      </c>
    </row>
    <row r="103" spans="1:9" ht="14.25" customHeight="1" x14ac:dyDescent="0.45">
      <c r="A103" s="2" t="s">
        <v>26</v>
      </c>
      <c r="B103" s="8">
        <v>19479811</v>
      </c>
      <c r="C103" s="2" t="s">
        <v>31</v>
      </c>
      <c r="D103" s="2" t="s">
        <v>32</v>
      </c>
      <c r="E103" s="21">
        <v>46156</v>
      </c>
      <c r="F103" s="2">
        <v>11.066000000000001</v>
      </c>
      <c r="G103" s="12">
        <v>90.363600000000005</v>
      </c>
      <c r="H103" s="12">
        <f t="shared" si="0"/>
        <v>999.96359760000007</v>
      </c>
      <c r="I103" s="2" t="s">
        <v>34</v>
      </c>
    </row>
    <row r="104" spans="1:9" ht="14.25" customHeight="1" x14ac:dyDescent="0.45">
      <c r="A104" s="2" t="s">
        <v>26</v>
      </c>
      <c r="B104" s="8" t="s">
        <v>51</v>
      </c>
      <c r="C104" s="2" t="s">
        <v>52</v>
      </c>
      <c r="D104" s="2" t="s">
        <v>54</v>
      </c>
      <c r="E104" s="21">
        <v>46156</v>
      </c>
      <c r="F104" s="2">
        <v>38.582000000000001</v>
      </c>
      <c r="G104" s="12">
        <v>25.9178</v>
      </c>
      <c r="H104" s="12">
        <f t="shared" si="0"/>
        <v>999.96055960000001</v>
      </c>
      <c r="I104" s="2" t="s">
        <v>34</v>
      </c>
    </row>
    <row r="105" spans="1:9" ht="14.25" customHeight="1" x14ac:dyDescent="0.45">
      <c r="A105" s="2" t="s">
        <v>26</v>
      </c>
      <c r="B105" s="8" t="s">
        <v>37</v>
      </c>
      <c r="C105" s="2" t="s">
        <v>38</v>
      </c>
      <c r="D105" s="2" t="s">
        <v>39</v>
      </c>
      <c r="E105" s="21">
        <v>46157</v>
      </c>
      <c r="F105" s="2">
        <v>4.5780000000000003</v>
      </c>
      <c r="G105" s="12">
        <v>218.423</v>
      </c>
      <c r="H105" s="12">
        <f t="shared" si="0"/>
        <v>999.94049400000006</v>
      </c>
      <c r="I105" s="2" t="s">
        <v>34</v>
      </c>
    </row>
    <row r="106" spans="1:9" ht="14.25" customHeight="1" x14ac:dyDescent="0.45">
      <c r="A106" s="2" t="s">
        <v>26</v>
      </c>
      <c r="B106" s="8">
        <v>31043145655</v>
      </c>
      <c r="C106" s="2" t="s">
        <v>45</v>
      </c>
      <c r="D106" s="2" t="s">
        <v>46</v>
      </c>
      <c r="E106" s="21">
        <v>46157</v>
      </c>
      <c r="F106" s="2">
        <v>21.042999999999999</v>
      </c>
      <c r="G106" s="12">
        <v>47.52</v>
      </c>
      <c r="H106" s="12">
        <f t="shared" si="0"/>
        <v>999.96336000000008</v>
      </c>
      <c r="I106" s="2" t="s">
        <v>34</v>
      </c>
    </row>
    <row r="107" spans="1:9" ht="14.25" customHeight="1" x14ac:dyDescent="0.45">
      <c r="A107" s="2" t="s">
        <v>26</v>
      </c>
      <c r="B107" s="8">
        <v>19479811</v>
      </c>
      <c r="C107" s="2" t="s">
        <v>31</v>
      </c>
      <c r="D107" s="2" t="s">
        <v>32</v>
      </c>
      <c r="E107" s="21">
        <v>46157</v>
      </c>
      <c r="F107" s="2">
        <v>11.031000000000001</v>
      </c>
      <c r="G107" s="12">
        <v>90.6464</v>
      </c>
      <c r="H107" s="12">
        <f t="shared" si="0"/>
        <v>999.92043840000008</v>
      </c>
      <c r="I107" s="2" t="s">
        <v>34</v>
      </c>
    </row>
    <row r="108" spans="1:9" ht="14.25" customHeight="1" x14ac:dyDescent="0.45">
      <c r="A108" s="2" t="s">
        <v>26</v>
      </c>
      <c r="B108" s="8" t="s">
        <v>51</v>
      </c>
      <c r="C108" s="2" t="s">
        <v>52</v>
      </c>
      <c r="D108" s="2" t="s">
        <v>54</v>
      </c>
      <c r="E108" s="21">
        <v>46157</v>
      </c>
      <c r="F108" s="2">
        <v>38.948999999999998</v>
      </c>
      <c r="G108" s="12">
        <v>25.673100000000002</v>
      </c>
      <c r="H108" s="12">
        <f t="shared" si="0"/>
        <v>999.94157189999999</v>
      </c>
      <c r="I108" s="2" t="s">
        <v>34</v>
      </c>
    </row>
    <row r="109" spans="1:9" ht="14.25" customHeight="1" x14ac:dyDescent="0.45">
      <c r="A109" s="2" t="s">
        <v>26</v>
      </c>
      <c r="B109" s="8" t="s">
        <v>37</v>
      </c>
      <c r="C109" s="2" t="s">
        <v>38</v>
      </c>
      <c r="D109" s="2" t="s">
        <v>39</v>
      </c>
      <c r="E109" s="21">
        <v>46160</v>
      </c>
      <c r="F109" s="2">
        <v>4.5869999999999997</v>
      </c>
      <c r="G109" s="12">
        <v>217.97800000000001</v>
      </c>
      <c r="H109" s="12">
        <f t="shared" si="0"/>
        <v>999.86508600000002</v>
      </c>
      <c r="I109" s="2" t="s">
        <v>34</v>
      </c>
    </row>
    <row r="110" spans="1:9" ht="14.25" customHeight="1" x14ac:dyDescent="0.45">
      <c r="A110" s="2" t="s">
        <v>26</v>
      </c>
      <c r="B110" s="8" t="s">
        <v>37</v>
      </c>
      <c r="C110" s="2" t="s">
        <v>38</v>
      </c>
      <c r="D110" s="2" t="s">
        <v>39</v>
      </c>
      <c r="E110" s="21">
        <v>46160</v>
      </c>
      <c r="F110" s="2">
        <v>4.5869999999999997</v>
      </c>
      <c r="G110" s="12">
        <v>217.97800000000001</v>
      </c>
      <c r="H110" s="12">
        <f t="shared" si="0"/>
        <v>999.86508600000002</v>
      </c>
      <c r="I110" s="2" t="s">
        <v>34</v>
      </c>
    </row>
    <row r="111" spans="1:9" ht="14.25" customHeight="1" x14ac:dyDescent="0.45">
      <c r="A111" s="2" t="s">
        <v>26</v>
      </c>
      <c r="B111" s="8">
        <v>31043145655</v>
      </c>
      <c r="C111" s="2" t="s">
        <v>45</v>
      </c>
      <c r="D111" s="2" t="s">
        <v>46</v>
      </c>
      <c r="E111" s="21">
        <v>46160</v>
      </c>
      <c r="F111" s="2">
        <v>21.385000000000002</v>
      </c>
      <c r="G111" s="12">
        <v>46.76</v>
      </c>
      <c r="H111" s="12">
        <f t="shared" si="0"/>
        <v>999.96260000000007</v>
      </c>
      <c r="I111" s="2" t="s">
        <v>34</v>
      </c>
    </row>
    <row r="112" spans="1:9" ht="14.25" customHeight="1" x14ac:dyDescent="0.45">
      <c r="A112" s="2" t="s">
        <v>26</v>
      </c>
      <c r="B112" s="8">
        <v>31043145655</v>
      </c>
      <c r="C112" s="2" t="s">
        <v>45</v>
      </c>
      <c r="D112" s="2" t="s">
        <v>46</v>
      </c>
      <c r="E112" s="21">
        <v>46160</v>
      </c>
      <c r="F112" s="2">
        <v>21.385000000000002</v>
      </c>
      <c r="G112" s="12">
        <v>46.76</v>
      </c>
      <c r="H112" s="12">
        <f t="shared" si="0"/>
        <v>999.96260000000007</v>
      </c>
      <c r="I112" s="2" t="s">
        <v>34</v>
      </c>
    </row>
    <row r="113" spans="1:9" ht="14.25" customHeight="1" x14ac:dyDescent="0.45">
      <c r="A113" s="2" t="s">
        <v>26</v>
      </c>
      <c r="B113" s="8">
        <v>19479811</v>
      </c>
      <c r="C113" s="2" t="s">
        <v>31</v>
      </c>
      <c r="D113" s="2" t="s">
        <v>32</v>
      </c>
      <c r="E113" s="21">
        <v>46160</v>
      </c>
      <c r="F113" s="2">
        <v>11.03</v>
      </c>
      <c r="G113" s="12">
        <v>90.657899999999998</v>
      </c>
      <c r="H113" s="12">
        <f t="shared" si="0"/>
        <v>999.95663699999989</v>
      </c>
      <c r="I113" s="2" t="s">
        <v>34</v>
      </c>
    </row>
    <row r="114" spans="1:9" ht="14.25" customHeight="1" x14ac:dyDescent="0.45">
      <c r="A114" s="2" t="s">
        <v>26</v>
      </c>
      <c r="B114" s="8">
        <v>19479811</v>
      </c>
      <c r="C114" s="2" t="s">
        <v>31</v>
      </c>
      <c r="D114" s="2" t="s">
        <v>32</v>
      </c>
      <c r="E114" s="21">
        <v>46160</v>
      </c>
      <c r="F114" s="2">
        <v>11.03</v>
      </c>
      <c r="G114" s="12">
        <v>90.657899999999998</v>
      </c>
      <c r="H114" s="12">
        <f t="shared" si="0"/>
        <v>999.95663699999989</v>
      </c>
      <c r="I114" s="2" t="s">
        <v>34</v>
      </c>
    </row>
    <row r="115" spans="1:9" ht="14.25" customHeight="1" x14ac:dyDescent="0.45">
      <c r="A115" s="2" t="s">
        <v>26</v>
      </c>
      <c r="B115" s="8" t="s">
        <v>51</v>
      </c>
      <c r="C115" s="2" t="s">
        <v>52</v>
      </c>
      <c r="D115" s="2" t="s">
        <v>54</v>
      </c>
      <c r="E115" s="21">
        <v>46160</v>
      </c>
      <c r="F115" s="2">
        <v>39.326000000000001</v>
      </c>
      <c r="G115" s="12">
        <v>25.427399999999999</v>
      </c>
      <c r="H115" s="12">
        <f t="shared" si="0"/>
        <v>999.9579324</v>
      </c>
      <c r="I115" s="2" t="s">
        <v>34</v>
      </c>
    </row>
    <row r="116" spans="1:9" ht="14.25" customHeight="1" x14ac:dyDescent="0.45">
      <c r="A116" s="2" t="s">
        <v>26</v>
      </c>
      <c r="B116" s="8" t="s">
        <v>51</v>
      </c>
      <c r="C116" s="2" t="s">
        <v>52</v>
      </c>
      <c r="D116" s="2" t="s">
        <v>54</v>
      </c>
      <c r="E116" s="21">
        <v>46160</v>
      </c>
      <c r="F116" s="2">
        <v>39.326000000000001</v>
      </c>
      <c r="G116" s="12">
        <v>25.427399999999999</v>
      </c>
      <c r="H116" s="12">
        <f t="shared" si="0"/>
        <v>999.9579324</v>
      </c>
      <c r="I116" s="2" t="s">
        <v>34</v>
      </c>
    </row>
    <row r="117" spans="1:9" ht="14.25" customHeight="1" x14ac:dyDescent="0.45">
      <c r="A117" s="2" t="s">
        <v>26</v>
      </c>
      <c r="B117" s="8" t="s">
        <v>37</v>
      </c>
      <c r="C117" s="2" t="s">
        <v>38</v>
      </c>
      <c r="D117" s="2" t="s">
        <v>39</v>
      </c>
      <c r="E117" s="21">
        <v>46162</v>
      </c>
      <c r="F117" s="2">
        <v>4.5369999999999999</v>
      </c>
      <c r="G117" s="12">
        <v>220.39099999999999</v>
      </c>
      <c r="H117" s="12">
        <f t="shared" si="0"/>
        <v>999.91396699999996</v>
      </c>
      <c r="I117" s="2" t="s">
        <v>34</v>
      </c>
    </row>
    <row r="118" spans="1:9" ht="14.25" customHeight="1" x14ac:dyDescent="0.45">
      <c r="A118" s="2" t="s">
        <v>26</v>
      </c>
      <c r="B118" s="8">
        <v>31043145655</v>
      </c>
      <c r="C118" s="2" t="s">
        <v>45</v>
      </c>
      <c r="D118" s="2" t="s">
        <v>46</v>
      </c>
      <c r="E118" s="21">
        <v>46162</v>
      </c>
      <c r="F118" s="2">
        <v>21.175999999999998</v>
      </c>
      <c r="G118" s="12">
        <v>47.22</v>
      </c>
      <c r="H118" s="12">
        <f t="shared" si="0"/>
        <v>999.93071999999995</v>
      </c>
      <c r="I118" s="2" t="s">
        <v>34</v>
      </c>
    </row>
    <row r="119" spans="1:9" ht="14.25" customHeight="1" x14ac:dyDescent="0.45">
      <c r="A119" s="2" t="s">
        <v>26</v>
      </c>
      <c r="B119" s="8">
        <v>19479811</v>
      </c>
      <c r="C119" s="2" t="s">
        <v>31</v>
      </c>
      <c r="D119" s="2" t="s">
        <v>32</v>
      </c>
      <c r="E119" s="21">
        <v>46162</v>
      </c>
      <c r="F119" s="2">
        <v>11.013999999999999</v>
      </c>
      <c r="G119" s="12">
        <v>90.786199999999994</v>
      </c>
      <c r="H119" s="12">
        <f t="shared" si="0"/>
        <v>999.91920679999987</v>
      </c>
      <c r="I119" s="2" t="s">
        <v>34</v>
      </c>
    </row>
    <row r="120" spans="1:9" ht="14.25" customHeight="1" x14ac:dyDescent="0.45">
      <c r="A120" s="2" t="s">
        <v>26</v>
      </c>
      <c r="B120" s="8" t="s">
        <v>51</v>
      </c>
      <c r="C120" s="2" t="s">
        <v>52</v>
      </c>
      <c r="D120" s="2" t="s">
        <v>54</v>
      </c>
      <c r="E120" s="21">
        <v>46162</v>
      </c>
      <c r="F120" s="2">
        <v>38.904000000000003</v>
      </c>
      <c r="G120" s="12">
        <v>25.702999999999999</v>
      </c>
      <c r="H120" s="12">
        <f t="shared" si="0"/>
        <v>999.94951200000003</v>
      </c>
      <c r="I120" s="2" t="s">
        <v>34</v>
      </c>
    </row>
    <row r="121" spans="1:9" ht="14.25" customHeight="1" x14ac:dyDescent="0.45">
      <c r="A121" s="2" t="s">
        <v>26</v>
      </c>
      <c r="B121" s="8" t="s">
        <v>37</v>
      </c>
      <c r="C121" s="2" t="s">
        <v>38</v>
      </c>
      <c r="D121" s="2" t="s">
        <v>39</v>
      </c>
      <c r="E121" s="21">
        <v>46163</v>
      </c>
      <c r="F121" s="2">
        <v>4.5339999999999998</v>
      </c>
      <c r="G121" s="12">
        <v>220.53399999999999</v>
      </c>
      <c r="H121" s="12">
        <f t="shared" si="0"/>
        <v>999.9011559999999</v>
      </c>
      <c r="I121" s="2" t="s">
        <v>34</v>
      </c>
    </row>
    <row r="122" spans="1:9" ht="14.25" customHeight="1" x14ac:dyDescent="0.45">
      <c r="A122" s="2" t="s">
        <v>26</v>
      </c>
      <c r="B122" s="8">
        <v>31043145655</v>
      </c>
      <c r="C122" s="2" t="s">
        <v>45</v>
      </c>
      <c r="D122" s="2" t="s">
        <v>46</v>
      </c>
      <c r="E122" s="21">
        <v>46163</v>
      </c>
      <c r="F122" s="2">
        <v>21.015999999999998</v>
      </c>
      <c r="G122" s="12">
        <v>47.58</v>
      </c>
      <c r="H122" s="12">
        <f t="shared" si="0"/>
        <v>999.94127999999989</v>
      </c>
      <c r="I122" s="2" t="s">
        <v>34</v>
      </c>
    </row>
    <row r="123" spans="1:9" ht="14.25" customHeight="1" x14ac:dyDescent="0.45">
      <c r="A123" s="2" t="s">
        <v>26</v>
      </c>
      <c r="B123" s="8">
        <v>19479811</v>
      </c>
      <c r="C123" s="2" t="s">
        <v>31</v>
      </c>
      <c r="D123" s="2" t="s">
        <v>32</v>
      </c>
      <c r="E123" s="21">
        <v>46163</v>
      </c>
      <c r="F123" s="2">
        <v>11.035</v>
      </c>
      <c r="G123" s="12">
        <v>90.614000000000004</v>
      </c>
      <c r="H123" s="12">
        <f t="shared" si="0"/>
        <v>999.92549000000008</v>
      </c>
      <c r="I123" s="2" t="s">
        <v>34</v>
      </c>
    </row>
    <row r="124" spans="1:9" ht="14.25" customHeight="1" x14ac:dyDescent="0.45">
      <c r="A124" s="2" t="s">
        <v>26</v>
      </c>
      <c r="B124" s="8" t="s">
        <v>51</v>
      </c>
      <c r="C124" s="2" t="s">
        <v>52</v>
      </c>
      <c r="D124" s="2" t="s">
        <v>54</v>
      </c>
      <c r="E124" s="21">
        <v>46163</v>
      </c>
      <c r="F124" s="2">
        <v>38.823999999999998</v>
      </c>
      <c r="G124" s="12">
        <v>25.7563</v>
      </c>
      <c r="H124" s="12">
        <f t="shared" si="0"/>
        <v>999.96259119999991</v>
      </c>
      <c r="I124" s="2" t="s">
        <v>34</v>
      </c>
    </row>
    <row r="125" spans="1:9" ht="14.25" customHeight="1" x14ac:dyDescent="0.45">
      <c r="A125" s="2" t="s">
        <v>26</v>
      </c>
      <c r="B125" s="8" t="s">
        <v>37</v>
      </c>
      <c r="C125" s="2" t="s">
        <v>38</v>
      </c>
      <c r="D125" s="2" t="s">
        <v>39</v>
      </c>
      <c r="E125" s="21">
        <v>46164</v>
      </c>
      <c r="F125" s="2">
        <v>4.5380000000000003</v>
      </c>
      <c r="G125" s="12">
        <v>220.35900000000001</v>
      </c>
      <c r="H125" s="12">
        <f t="shared" si="0"/>
        <v>999.98914200000013</v>
      </c>
      <c r="I125" s="2" t="s">
        <v>34</v>
      </c>
    </row>
    <row r="126" spans="1:9" ht="14.25" customHeight="1" x14ac:dyDescent="0.45">
      <c r="A126" s="2" t="s">
        <v>26</v>
      </c>
      <c r="B126" s="8">
        <v>31043145655</v>
      </c>
      <c r="C126" s="2" t="s">
        <v>45</v>
      </c>
      <c r="D126" s="2" t="s">
        <v>46</v>
      </c>
      <c r="E126" s="21">
        <v>46164</v>
      </c>
      <c r="F126" s="2">
        <v>21.065000000000001</v>
      </c>
      <c r="G126" s="12">
        <v>47.47</v>
      </c>
      <c r="H126" s="12">
        <f t="shared" si="0"/>
        <v>999.95555000000002</v>
      </c>
      <c r="I126" s="2" t="s">
        <v>34</v>
      </c>
    </row>
    <row r="127" spans="1:9" ht="14.25" customHeight="1" x14ac:dyDescent="0.45">
      <c r="A127" s="2" t="s">
        <v>26</v>
      </c>
      <c r="B127" s="8">
        <v>19479811</v>
      </c>
      <c r="C127" s="2" t="s">
        <v>31</v>
      </c>
      <c r="D127" s="2" t="s">
        <v>32</v>
      </c>
      <c r="E127" s="21">
        <v>46164</v>
      </c>
      <c r="F127" s="2">
        <v>11.061999999999999</v>
      </c>
      <c r="G127" s="12">
        <v>90.392700000000005</v>
      </c>
      <c r="H127" s="12">
        <f t="shared" si="0"/>
        <v>999.92404739999995</v>
      </c>
      <c r="I127" s="2" t="s">
        <v>34</v>
      </c>
    </row>
    <row r="128" spans="1:9" ht="14.25" customHeight="1" x14ac:dyDescent="0.45">
      <c r="A128" s="2" t="s">
        <v>26</v>
      </c>
      <c r="B128" s="8" t="s">
        <v>51</v>
      </c>
      <c r="C128" s="2" t="s">
        <v>52</v>
      </c>
      <c r="D128" s="2" t="s">
        <v>54</v>
      </c>
      <c r="E128" s="21">
        <v>46164</v>
      </c>
      <c r="F128" s="2">
        <v>38.668999999999997</v>
      </c>
      <c r="G128" s="12">
        <v>25.859000000000002</v>
      </c>
      <c r="H128" s="12">
        <f t="shared" si="0"/>
        <v>999.94167100000004</v>
      </c>
      <c r="I128" s="2" t="s">
        <v>34</v>
      </c>
    </row>
    <row r="129" spans="1:9" ht="14.25" customHeight="1" x14ac:dyDescent="0.45">
      <c r="A129" s="2" t="s">
        <v>26</v>
      </c>
      <c r="B129" s="8" t="s">
        <v>37</v>
      </c>
      <c r="C129" s="2" t="s">
        <v>38</v>
      </c>
      <c r="D129" s="2" t="s">
        <v>39</v>
      </c>
      <c r="E129" s="21">
        <v>46167</v>
      </c>
      <c r="F129" s="2">
        <v>4.4969999999999999</v>
      </c>
      <c r="G129" s="12">
        <v>222.381</v>
      </c>
      <c r="H129" s="12">
        <f t="shared" si="0"/>
        <v>1000.0473569999999</v>
      </c>
      <c r="I129" s="2" t="s">
        <v>34</v>
      </c>
    </row>
    <row r="130" spans="1:9" ht="14.25" customHeight="1" x14ac:dyDescent="0.45">
      <c r="A130" s="2" t="s">
        <v>26</v>
      </c>
      <c r="B130" s="8" t="s">
        <v>37</v>
      </c>
      <c r="C130" s="2" t="s">
        <v>38</v>
      </c>
      <c r="D130" s="2" t="s">
        <v>39</v>
      </c>
      <c r="E130" s="21">
        <v>46167</v>
      </c>
      <c r="F130" s="2">
        <v>4.4969999999999999</v>
      </c>
      <c r="G130" s="12">
        <v>222.381</v>
      </c>
      <c r="H130" s="12">
        <f t="shared" si="0"/>
        <v>1000.0473569999999</v>
      </c>
      <c r="I130" s="2" t="s">
        <v>34</v>
      </c>
    </row>
    <row r="131" spans="1:9" ht="14.25" customHeight="1" x14ac:dyDescent="0.45">
      <c r="A131" s="2" t="s">
        <v>26</v>
      </c>
      <c r="B131" s="8">
        <v>31043145655</v>
      </c>
      <c r="C131" s="2" t="s">
        <v>45</v>
      </c>
      <c r="D131" s="2" t="s">
        <v>46</v>
      </c>
      <c r="E131" s="21">
        <v>46167</v>
      </c>
      <c r="F131" s="2">
        <v>20.815000000000001</v>
      </c>
      <c r="G131" s="12">
        <v>48.04</v>
      </c>
      <c r="H131" s="12">
        <f t="shared" si="0"/>
        <v>999.95260000000007</v>
      </c>
      <c r="I131" s="2" t="s">
        <v>34</v>
      </c>
    </row>
    <row r="132" spans="1:9" ht="14.25" customHeight="1" x14ac:dyDescent="0.45">
      <c r="A132" s="2" t="s">
        <v>26</v>
      </c>
      <c r="B132" s="8">
        <v>31043145655</v>
      </c>
      <c r="C132" s="2" t="s">
        <v>45</v>
      </c>
      <c r="D132" s="2" t="s">
        <v>46</v>
      </c>
      <c r="E132" s="21">
        <v>46167</v>
      </c>
      <c r="F132" s="2">
        <v>20.815000000000001</v>
      </c>
      <c r="G132" s="12">
        <v>48.04</v>
      </c>
      <c r="H132" s="12">
        <f t="shared" si="0"/>
        <v>999.95260000000007</v>
      </c>
      <c r="I132" s="2" t="s">
        <v>34</v>
      </c>
    </row>
    <row r="133" spans="1:9" ht="14.25" customHeight="1" x14ac:dyDescent="0.45">
      <c r="A133" s="2" t="s">
        <v>26</v>
      </c>
      <c r="B133" s="8">
        <v>19479811</v>
      </c>
      <c r="C133" s="2" t="s">
        <v>31</v>
      </c>
      <c r="D133" s="2" t="s">
        <v>32</v>
      </c>
      <c r="E133" s="21">
        <v>46167</v>
      </c>
      <c r="F133" s="2">
        <v>10.97</v>
      </c>
      <c r="G133" s="12">
        <v>91.150199999999998</v>
      </c>
      <c r="H133" s="12">
        <f t="shared" si="0"/>
        <v>999.91769399999998</v>
      </c>
      <c r="I133" s="2" t="s">
        <v>34</v>
      </c>
    </row>
    <row r="134" spans="1:9" ht="14.25" customHeight="1" x14ac:dyDescent="0.45">
      <c r="A134" s="2" t="s">
        <v>26</v>
      </c>
      <c r="B134" s="8">
        <v>19479811</v>
      </c>
      <c r="C134" s="2" t="s">
        <v>31</v>
      </c>
      <c r="D134" s="2" t="s">
        <v>32</v>
      </c>
      <c r="E134" s="21">
        <v>46167</v>
      </c>
      <c r="F134" s="2">
        <v>10.97</v>
      </c>
      <c r="G134" s="12">
        <v>91.150199999999998</v>
      </c>
      <c r="H134" s="12">
        <f t="shared" si="0"/>
        <v>999.91769399999998</v>
      </c>
      <c r="I134" s="2" t="s">
        <v>34</v>
      </c>
    </row>
    <row r="135" spans="1:9" ht="14.25" customHeight="1" x14ac:dyDescent="0.45">
      <c r="A135" s="2" t="s">
        <v>26</v>
      </c>
      <c r="B135" s="8" t="s">
        <v>51</v>
      </c>
      <c r="C135" s="2" t="s">
        <v>52</v>
      </c>
      <c r="D135" s="2" t="s">
        <v>54</v>
      </c>
      <c r="E135" s="21">
        <v>46167</v>
      </c>
      <c r="F135" s="2">
        <v>38.097999999999999</v>
      </c>
      <c r="G135" s="12">
        <v>26.246600000000001</v>
      </c>
      <c r="H135" s="12">
        <f t="shared" si="0"/>
        <v>999.94296680000002</v>
      </c>
      <c r="I135" s="2" t="s">
        <v>34</v>
      </c>
    </row>
    <row r="136" spans="1:9" ht="14.25" customHeight="1" x14ac:dyDescent="0.45">
      <c r="A136" s="2" t="s">
        <v>26</v>
      </c>
      <c r="B136" s="8" t="s">
        <v>51</v>
      </c>
      <c r="C136" s="2" t="s">
        <v>52</v>
      </c>
      <c r="D136" s="2" t="s">
        <v>54</v>
      </c>
      <c r="E136" s="21">
        <v>46167</v>
      </c>
      <c r="F136" s="2">
        <v>38.097999999999999</v>
      </c>
      <c r="G136" s="12">
        <v>26.246600000000001</v>
      </c>
      <c r="H136" s="12">
        <f t="shared" si="0"/>
        <v>999.94296680000002</v>
      </c>
      <c r="I136" s="2" t="s">
        <v>34</v>
      </c>
    </row>
    <row r="137" spans="1:9" ht="14.25" customHeight="1" x14ac:dyDescent="0.45">
      <c r="A137" s="2" t="s">
        <v>26</v>
      </c>
      <c r="B137" s="8" t="s">
        <v>37</v>
      </c>
      <c r="C137" s="2" t="s">
        <v>38</v>
      </c>
      <c r="D137" s="2" t="s">
        <v>39</v>
      </c>
      <c r="E137" s="21">
        <v>46169</v>
      </c>
      <c r="F137" s="2">
        <v>4.4720000000000004</v>
      </c>
      <c r="G137" s="12">
        <v>223.58500000000001</v>
      </c>
      <c r="H137" s="12">
        <f t="shared" si="0"/>
        <v>999.87212000000011</v>
      </c>
      <c r="I137" s="2" t="s">
        <v>34</v>
      </c>
    </row>
    <row r="138" spans="1:9" ht="14.25" customHeight="1" x14ac:dyDescent="0.45">
      <c r="A138" s="2" t="s">
        <v>26</v>
      </c>
      <c r="B138" s="8">
        <v>31043145655</v>
      </c>
      <c r="C138" s="2" t="s">
        <v>45</v>
      </c>
      <c r="D138" s="2" t="s">
        <v>46</v>
      </c>
      <c r="E138" s="21">
        <v>46169</v>
      </c>
      <c r="F138" s="2">
        <v>20.72</v>
      </c>
      <c r="G138" s="12">
        <v>48.26</v>
      </c>
      <c r="H138" s="12">
        <f t="shared" si="0"/>
        <v>999.94719999999995</v>
      </c>
      <c r="I138" s="2" t="s">
        <v>34</v>
      </c>
    </row>
    <row r="139" spans="1:9" ht="14.25" customHeight="1" x14ac:dyDescent="0.45">
      <c r="A139" s="2" t="s">
        <v>26</v>
      </c>
      <c r="B139" s="8">
        <v>19479811</v>
      </c>
      <c r="C139" s="2" t="s">
        <v>31</v>
      </c>
      <c r="D139" s="2" t="s">
        <v>32</v>
      </c>
      <c r="E139" s="21">
        <v>46169</v>
      </c>
      <c r="F139" s="2">
        <v>10.99</v>
      </c>
      <c r="G139" s="12">
        <v>90.9863</v>
      </c>
      <c r="H139" s="12">
        <f t="shared" si="0"/>
        <v>999.939437</v>
      </c>
      <c r="I139" s="2" t="s">
        <v>34</v>
      </c>
    </row>
    <row r="140" spans="1:9" ht="14.25" customHeight="1" x14ac:dyDescent="0.45">
      <c r="A140" s="2" t="s">
        <v>26</v>
      </c>
      <c r="B140" s="8" t="s">
        <v>51</v>
      </c>
      <c r="C140" s="2" t="s">
        <v>52</v>
      </c>
      <c r="D140" s="2" t="s">
        <v>54</v>
      </c>
      <c r="E140" s="21">
        <v>46169</v>
      </c>
      <c r="F140" s="2">
        <v>37.494</v>
      </c>
      <c r="G140" s="12">
        <v>26.6694</v>
      </c>
      <c r="H140" s="12">
        <f t="shared" si="0"/>
        <v>999.94248359999995</v>
      </c>
      <c r="I140" s="2" t="s">
        <v>34</v>
      </c>
    </row>
    <row r="141" spans="1:9" ht="14.25" customHeight="1" x14ac:dyDescent="0.45">
      <c r="A141" s="2" t="s">
        <v>26</v>
      </c>
      <c r="B141" s="8" t="s">
        <v>37</v>
      </c>
      <c r="C141" s="2" t="s">
        <v>38</v>
      </c>
      <c r="D141" s="2" t="s">
        <v>39</v>
      </c>
      <c r="E141" s="21">
        <v>46182</v>
      </c>
      <c r="F141" s="2">
        <v>113.42</v>
      </c>
      <c r="G141" s="12">
        <v>220.40899999999999</v>
      </c>
      <c r="H141" s="12">
        <f t="shared" si="0"/>
        <v>24998.788779999999</v>
      </c>
      <c r="I141" s="2" t="s">
        <v>34</v>
      </c>
    </row>
    <row r="142" spans="1:9" ht="14.25" customHeight="1" x14ac:dyDescent="0.45">
      <c r="A142" s="2" t="s">
        <v>26</v>
      </c>
      <c r="B142" s="8">
        <v>31043145655</v>
      </c>
      <c r="C142" s="2" t="s">
        <v>45</v>
      </c>
      <c r="D142" s="2" t="s">
        <v>46</v>
      </c>
      <c r="E142" s="21">
        <v>46182</v>
      </c>
      <c r="F142" s="2">
        <v>306.98399999999998</v>
      </c>
      <c r="G142" s="12">
        <v>48.86</v>
      </c>
      <c r="H142" s="12">
        <f t="shared" si="0"/>
        <v>14999.238239999999</v>
      </c>
      <c r="I142" s="2" t="s">
        <v>34</v>
      </c>
    </row>
    <row r="143" spans="1:9" ht="14.25" customHeight="1" x14ac:dyDescent="0.45">
      <c r="A143" s="2" t="s">
        <v>26</v>
      </c>
      <c r="B143" s="8">
        <v>19479811</v>
      </c>
      <c r="C143" s="2" t="s">
        <v>81</v>
      </c>
      <c r="D143" s="2" t="s">
        <v>82</v>
      </c>
      <c r="E143" s="21">
        <v>46182</v>
      </c>
      <c r="F143" s="2">
        <v>9.7159999999999993</v>
      </c>
      <c r="G143" s="12">
        <v>1543.7112999999999</v>
      </c>
      <c r="H143" s="12">
        <f t="shared" si="0"/>
        <v>14998.698990799998</v>
      </c>
      <c r="I143" s="2" t="s">
        <v>34</v>
      </c>
    </row>
    <row r="144" spans="1:9" ht="14.25" customHeight="1" x14ac:dyDescent="0.45">
      <c r="A144" s="2" t="s">
        <v>26</v>
      </c>
      <c r="B144" s="8" t="s">
        <v>51</v>
      </c>
      <c r="C144" s="2" t="s">
        <v>52</v>
      </c>
      <c r="D144" s="2" t="s">
        <v>54</v>
      </c>
      <c r="E144" s="21">
        <v>46182</v>
      </c>
      <c r="F144" s="2">
        <v>578.60799999999995</v>
      </c>
      <c r="G144" s="12">
        <v>25.922999999999998</v>
      </c>
      <c r="H144" s="12">
        <f t="shared" si="0"/>
        <v>14999.255183999998</v>
      </c>
      <c r="I144" s="2" t="s">
        <v>34</v>
      </c>
    </row>
    <row r="145" spans="1:9" ht="14.25" customHeight="1" x14ac:dyDescent="0.45">
      <c r="A145" s="2" t="s">
        <v>26</v>
      </c>
      <c r="B145" s="8">
        <v>46764761</v>
      </c>
      <c r="C145" s="2" t="s">
        <v>157</v>
      </c>
      <c r="D145" s="2" t="s">
        <v>158</v>
      </c>
      <c r="E145" s="2" t="s">
        <v>159</v>
      </c>
      <c r="F145" s="2">
        <v>46.58</v>
      </c>
      <c r="G145" s="12">
        <v>429.35</v>
      </c>
      <c r="H145" s="12">
        <f t="shared" si="0"/>
        <v>19999.123</v>
      </c>
      <c r="I145" s="2" t="s">
        <v>34</v>
      </c>
    </row>
    <row r="146" spans="1:9" ht="14.25" customHeight="1" x14ac:dyDescent="0.45">
      <c r="A146" s="2" t="s">
        <v>26</v>
      </c>
      <c r="B146" s="8">
        <v>46764761</v>
      </c>
      <c r="C146" s="2" t="s">
        <v>157</v>
      </c>
      <c r="D146" s="2" t="s">
        <v>158</v>
      </c>
      <c r="E146" s="2" t="s">
        <v>160</v>
      </c>
      <c r="F146" s="12">
        <v>13.81</v>
      </c>
      <c r="G146" s="12">
        <v>416.19</v>
      </c>
      <c r="H146" s="12">
        <f t="shared" si="0"/>
        <v>5747.5839000000005</v>
      </c>
      <c r="I146" s="2" t="s">
        <v>34</v>
      </c>
    </row>
    <row r="147" spans="1:9" ht="14.25" customHeight="1" x14ac:dyDescent="0.45">
      <c r="A147" s="2" t="s">
        <v>26</v>
      </c>
      <c r="B147" s="8">
        <v>46764761</v>
      </c>
      <c r="C147" s="2" t="s">
        <v>157</v>
      </c>
      <c r="D147" s="2" t="s">
        <v>158</v>
      </c>
      <c r="E147" s="2" t="s">
        <v>161</v>
      </c>
      <c r="F147" s="12">
        <v>48.43</v>
      </c>
      <c r="G147" s="12">
        <v>412.88</v>
      </c>
      <c r="H147" s="12">
        <f t="shared" si="0"/>
        <v>19995.778399999999</v>
      </c>
      <c r="I147" s="2" t="s">
        <v>34</v>
      </c>
    </row>
    <row r="148" spans="1:9" ht="14.25" customHeight="1" x14ac:dyDescent="0.45">
      <c r="A148" s="2" t="s">
        <v>26</v>
      </c>
      <c r="B148" s="8">
        <v>46764761</v>
      </c>
      <c r="C148" s="2" t="s">
        <v>157</v>
      </c>
      <c r="D148" s="2" t="s">
        <v>158</v>
      </c>
      <c r="E148" s="2" t="s">
        <v>162</v>
      </c>
      <c r="F148" s="2">
        <v>52.48</v>
      </c>
      <c r="G148" s="12">
        <v>381.03</v>
      </c>
      <c r="H148" s="12">
        <f t="shared" si="0"/>
        <v>19996.454399999999</v>
      </c>
      <c r="I148" s="2" t="s">
        <v>34</v>
      </c>
    </row>
    <row r="149" spans="1:9" ht="14.25" customHeight="1" x14ac:dyDescent="0.45">
      <c r="A149" s="2" t="s">
        <v>66</v>
      </c>
      <c r="B149" s="3" t="s">
        <v>163</v>
      </c>
      <c r="C149" s="2" t="s">
        <v>164</v>
      </c>
      <c r="D149" s="2" t="s">
        <v>165</v>
      </c>
      <c r="E149" s="21">
        <v>46133</v>
      </c>
      <c r="F149" s="2">
        <v>89.266999999999996</v>
      </c>
      <c r="G149" s="2">
        <v>28.0044</v>
      </c>
      <c r="H149" s="12">
        <f t="shared" si="0"/>
        <v>2499.8687747999998</v>
      </c>
      <c r="I149" s="2" t="s">
        <v>34</v>
      </c>
    </row>
    <row r="150" spans="1:9" ht="14.25" customHeight="1" x14ac:dyDescent="0.45">
      <c r="A150" s="2" t="s">
        <v>66</v>
      </c>
      <c r="B150" s="3">
        <v>91047038565</v>
      </c>
      <c r="C150" s="2" t="s">
        <v>166</v>
      </c>
      <c r="D150" s="2" t="s">
        <v>167</v>
      </c>
      <c r="E150" s="21">
        <v>46133</v>
      </c>
      <c r="F150" s="2">
        <v>27.231000000000002</v>
      </c>
      <c r="G150" s="2">
        <v>122.39100000000001</v>
      </c>
      <c r="H150" s="12">
        <f t="shared" si="0"/>
        <v>3332.8293210000002</v>
      </c>
      <c r="I150" s="2" t="s">
        <v>34</v>
      </c>
    </row>
    <row r="151" spans="1:9" ht="14.25" customHeight="1" x14ac:dyDescent="0.45">
      <c r="A151" s="2" t="s">
        <v>66</v>
      </c>
      <c r="B151" s="3">
        <v>19839482</v>
      </c>
      <c r="C151" s="2" t="s">
        <v>31</v>
      </c>
      <c r="D151" s="2" t="s">
        <v>32</v>
      </c>
      <c r="E151" s="21">
        <v>46133</v>
      </c>
      <c r="F151" s="2">
        <v>45.197000000000003</v>
      </c>
      <c r="G151" s="2">
        <v>92.191299999999998</v>
      </c>
      <c r="H151" s="12">
        <f t="shared" si="0"/>
        <v>4166.7701861000005</v>
      </c>
      <c r="I151" s="2" t="s">
        <v>34</v>
      </c>
    </row>
    <row r="152" spans="1:9" ht="14.25" customHeight="1" x14ac:dyDescent="0.45">
      <c r="A152" s="2" t="s">
        <v>66</v>
      </c>
      <c r="B152" s="3" t="s">
        <v>163</v>
      </c>
      <c r="C152" s="2" t="s">
        <v>164</v>
      </c>
      <c r="D152" s="2" t="s">
        <v>165</v>
      </c>
      <c r="E152" s="21">
        <v>46134</v>
      </c>
      <c r="F152" s="2">
        <v>88.616</v>
      </c>
      <c r="G152" s="2">
        <v>28.2104</v>
      </c>
      <c r="H152" s="12">
        <f t="shared" si="0"/>
        <v>2499.8928064000002</v>
      </c>
      <c r="I152" s="2" t="s">
        <v>34</v>
      </c>
    </row>
    <row r="153" spans="1:9" ht="14.25" customHeight="1" x14ac:dyDescent="0.45">
      <c r="A153" s="2" t="s">
        <v>66</v>
      </c>
      <c r="B153" s="3">
        <v>91047038565</v>
      </c>
      <c r="C153" s="2" t="s">
        <v>166</v>
      </c>
      <c r="D153" s="2" t="s">
        <v>167</v>
      </c>
      <c r="E153" s="21">
        <v>46134</v>
      </c>
      <c r="F153" s="2">
        <v>27.178000000000001</v>
      </c>
      <c r="G153" s="2">
        <v>122.63</v>
      </c>
      <c r="H153" s="12">
        <f t="shared" si="0"/>
        <v>3332.8381399999998</v>
      </c>
      <c r="I153" s="2" t="s">
        <v>34</v>
      </c>
    </row>
    <row r="154" spans="1:9" ht="14.25" customHeight="1" x14ac:dyDescent="0.45">
      <c r="A154" s="2" t="s">
        <v>66</v>
      </c>
      <c r="B154" s="3" t="s">
        <v>168</v>
      </c>
      <c r="C154" s="2" t="s">
        <v>169</v>
      </c>
      <c r="D154" s="2" t="s">
        <v>170</v>
      </c>
      <c r="E154" s="21">
        <v>46134</v>
      </c>
      <c r="F154" s="2">
        <v>22.623000000000001</v>
      </c>
      <c r="G154" s="2">
        <v>221</v>
      </c>
      <c r="H154" s="12">
        <f t="shared" si="0"/>
        <v>4999.683</v>
      </c>
      <c r="I154" s="2" t="s">
        <v>34</v>
      </c>
    </row>
    <row r="155" spans="1:9" ht="14.25" customHeight="1" x14ac:dyDescent="0.45">
      <c r="A155" s="2" t="s">
        <v>66</v>
      </c>
      <c r="B155" s="3">
        <v>3108075281</v>
      </c>
      <c r="C155" s="2" t="s">
        <v>171</v>
      </c>
      <c r="D155" s="2" t="s">
        <v>172</v>
      </c>
      <c r="E155" s="21">
        <v>46134</v>
      </c>
      <c r="F155" s="2">
        <v>155.917</v>
      </c>
      <c r="G155" s="2">
        <v>32.066800000000001</v>
      </c>
      <c r="H155" s="12">
        <f t="shared" si="0"/>
        <v>4999.7592556</v>
      </c>
      <c r="I155" s="2" t="s">
        <v>34</v>
      </c>
    </row>
    <row r="156" spans="1:9" ht="14.25" customHeight="1" x14ac:dyDescent="0.45">
      <c r="A156" s="2" t="s">
        <v>66</v>
      </c>
      <c r="B156" s="3">
        <v>19839482</v>
      </c>
      <c r="C156" s="2" t="s">
        <v>31</v>
      </c>
      <c r="D156" s="2" t="s">
        <v>32</v>
      </c>
      <c r="E156" s="21">
        <v>46134</v>
      </c>
      <c r="F156" s="2">
        <v>45.546999999999997</v>
      </c>
      <c r="G156" s="2">
        <v>91.483000000000004</v>
      </c>
      <c r="H156" s="12">
        <f t="shared" si="0"/>
        <v>4166.7762009999997</v>
      </c>
      <c r="I156" s="2" t="s">
        <v>34</v>
      </c>
    </row>
    <row r="157" spans="1:9" ht="14.25" customHeight="1" x14ac:dyDescent="0.45">
      <c r="A157" s="2" t="s">
        <v>66</v>
      </c>
      <c r="B157" s="3" t="s">
        <v>163</v>
      </c>
      <c r="C157" s="2" t="s">
        <v>164</v>
      </c>
      <c r="D157" s="2" t="s">
        <v>165</v>
      </c>
      <c r="E157" s="21">
        <v>46135</v>
      </c>
      <c r="F157" s="2">
        <v>179.584</v>
      </c>
      <c r="G157" s="2">
        <v>27.840699999999998</v>
      </c>
      <c r="H157" s="12">
        <f t="shared" si="0"/>
        <v>4999.7442688000001</v>
      </c>
      <c r="I157" s="2" t="s">
        <v>34</v>
      </c>
    </row>
    <row r="158" spans="1:9" ht="14.25" customHeight="1" x14ac:dyDescent="0.45">
      <c r="A158" s="2" t="s">
        <v>66</v>
      </c>
      <c r="B158" s="3">
        <v>91047038565</v>
      </c>
      <c r="C158" s="2" t="s">
        <v>166</v>
      </c>
      <c r="D158" s="2" t="s">
        <v>167</v>
      </c>
      <c r="E158" s="21">
        <v>46135</v>
      </c>
      <c r="F158" s="2">
        <v>54.554000000000002</v>
      </c>
      <c r="G158" s="2">
        <v>122.185</v>
      </c>
      <c r="H158" s="12">
        <f t="shared" si="0"/>
        <v>6665.6804900000006</v>
      </c>
      <c r="I158" s="2" t="s">
        <v>34</v>
      </c>
    </row>
    <row r="159" spans="1:9" ht="14.25" customHeight="1" x14ac:dyDescent="0.45">
      <c r="A159" s="2" t="s">
        <v>66</v>
      </c>
      <c r="B159" s="3" t="s">
        <v>168</v>
      </c>
      <c r="C159" s="2" t="s">
        <v>169</v>
      </c>
      <c r="D159" s="2" t="s">
        <v>170</v>
      </c>
      <c r="E159" s="21">
        <v>46135</v>
      </c>
      <c r="F159" s="2">
        <v>22.754000000000001</v>
      </c>
      <c r="G159" s="2">
        <v>219.73</v>
      </c>
      <c r="H159" s="12">
        <f t="shared" si="0"/>
        <v>4999.7364200000002</v>
      </c>
      <c r="I159" s="2" t="s">
        <v>34</v>
      </c>
    </row>
    <row r="160" spans="1:9" ht="14.25" customHeight="1" x14ac:dyDescent="0.45">
      <c r="A160" s="2" t="s">
        <v>66</v>
      </c>
      <c r="B160" s="3">
        <v>3108075281</v>
      </c>
      <c r="C160" s="2" t="s">
        <v>171</v>
      </c>
      <c r="D160" s="2" t="s">
        <v>172</v>
      </c>
      <c r="E160" s="21">
        <v>46135</v>
      </c>
      <c r="F160" s="2">
        <v>156.62799999999999</v>
      </c>
      <c r="G160" s="2">
        <v>31.921099999999999</v>
      </c>
      <c r="H160" s="12">
        <f t="shared" si="0"/>
        <v>4999.7380507999997</v>
      </c>
      <c r="I160" s="2" t="s">
        <v>34</v>
      </c>
    </row>
    <row r="161" spans="1:9" ht="14.25" customHeight="1" x14ac:dyDescent="0.45">
      <c r="A161" s="2" t="s">
        <v>66</v>
      </c>
      <c r="B161" s="3">
        <v>19839482</v>
      </c>
      <c r="C161" s="2" t="s">
        <v>31</v>
      </c>
      <c r="D161" s="2" t="s">
        <v>32</v>
      </c>
      <c r="E161" s="21">
        <v>46135</v>
      </c>
      <c r="F161" s="2">
        <v>91.498999999999995</v>
      </c>
      <c r="G161" s="2">
        <v>91.078500000000005</v>
      </c>
      <c r="H161" s="12">
        <f t="shared" si="0"/>
        <v>8333.5916715000003</v>
      </c>
      <c r="I161" s="2" t="s">
        <v>34</v>
      </c>
    </row>
    <row r="162" spans="1:9" ht="14.25" customHeight="1" x14ac:dyDescent="0.45">
      <c r="A162" s="2" t="s">
        <v>66</v>
      </c>
      <c r="B162" s="3" t="s">
        <v>163</v>
      </c>
      <c r="C162" s="2" t="s">
        <v>164</v>
      </c>
      <c r="D162" s="2" t="s">
        <v>165</v>
      </c>
      <c r="E162" s="21">
        <v>46136</v>
      </c>
      <c r="F162" s="2">
        <v>180.935</v>
      </c>
      <c r="G162" s="2">
        <v>27.6328</v>
      </c>
      <c r="H162" s="12">
        <f t="shared" si="0"/>
        <v>4999.7406680000004</v>
      </c>
      <c r="I162" s="2" t="s">
        <v>34</v>
      </c>
    </row>
    <row r="163" spans="1:9" ht="14.25" customHeight="1" x14ac:dyDescent="0.45">
      <c r="A163" s="2" t="s">
        <v>66</v>
      </c>
      <c r="B163" s="3">
        <v>91047038565</v>
      </c>
      <c r="C163" s="2" t="s">
        <v>166</v>
      </c>
      <c r="D163" s="2" t="s">
        <v>167</v>
      </c>
      <c r="E163" s="21">
        <v>46136</v>
      </c>
      <c r="F163" s="2">
        <v>55.011000000000003</v>
      </c>
      <c r="G163" s="2">
        <v>121.17</v>
      </c>
      <c r="H163" s="12">
        <f t="shared" si="0"/>
        <v>6665.6828700000005</v>
      </c>
      <c r="I163" s="2" t="s">
        <v>34</v>
      </c>
    </row>
    <row r="164" spans="1:9" ht="14.25" customHeight="1" x14ac:dyDescent="0.45">
      <c r="A164" s="2" t="s">
        <v>66</v>
      </c>
      <c r="B164" s="3" t="s">
        <v>168</v>
      </c>
      <c r="C164" s="2" t="s">
        <v>169</v>
      </c>
      <c r="D164" s="2" t="s">
        <v>170</v>
      </c>
      <c r="E164" s="21">
        <v>46136</v>
      </c>
      <c r="F164" s="2">
        <v>22.98</v>
      </c>
      <c r="G164" s="2">
        <v>217.57</v>
      </c>
      <c r="H164" s="12">
        <f t="shared" si="0"/>
        <v>4999.7586000000001</v>
      </c>
      <c r="I164" s="2" t="s">
        <v>34</v>
      </c>
    </row>
    <row r="165" spans="1:9" ht="14.25" customHeight="1" x14ac:dyDescent="0.45">
      <c r="A165" s="2" t="s">
        <v>66</v>
      </c>
      <c r="B165" s="3">
        <v>3108075281</v>
      </c>
      <c r="C165" s="2" t="s">
        <v>171</v>
      </c>
      <c r="D165" s="2" t="s">
        <v>172</v>
      </c>
      <c r="E165" s="21">
        <v>46136</v>
      </c>
      <c r="F165" s="2">
        <v>157.72800000000001</v>
      </c>
      <c r="G165" s="2">
        <v>31.698599999999999</v>
      </c>
      <c r="H165" s="12">
        <f t="shared" si="0"/>
        <v>4999.7567808000003</v>
      </c>
      <c r="I165" s="2" t="s">
        <v>34</v>
      </c>
    </row>
    <row r="166" spans="1:9" ht="14.25" customHeight="1" x14ac:dyDescent="0.45">
      <c r="A166" s="2" t="s">
        <v>66</v>
      </c>
      <c r="B166" s="3">
        <v>19839482</v>
      </c>
      <c r="C166" s="2" t="s">
        <v>31</v>
      </c>
      <c r="D166" s="2" t="s">
        <v>32</v>
      </c>
      <c r="E166" s="21">
        <v>46136</v>
      </c>
      <c r="F166" s="2">
        <v>92.022999999999996</v>
      </c>
      <c r="G166" s="2">
        <v>90.56</v>
      </c>
      <c r="H166" s="12">
        <f t="shared" si="0"/>
        <v>8333.6028800000004</v>
      </c>
      <c r="I166" s="2" t="s">
        <v>34</v>
      </c>
    </row>
    <row r="167" spans="1:9" ht="14.25" customHeight="1" x14ac:dyDescent="0.45">
      <c r="A167" s="2" t="s">
        <v>66</v>
      </c>
      <c r="B167" s="3" t="s">
        <v>163</v>
      </c>
      <c r="C167" s="2" t="s">
        <v>164</v>
      </c>
      <c r="D167" s="2" t="s">
        <v>165</v>
      </c>
      <c r="E167" s="21">
        <v>46142</v>
      </c>
      <c r="F167" s="2">
        <v>998.31700000000001</v>
      </c>
      <c r="G167" s="2">
        <v>27.545000000000002</v>
      </c>
      <c r="H167" s="12">
        <f t="shared" si="0"/>
        <v>27498.641765</v>
      </c>
      <c r="I167" s="2" t="s">
        <v>34</v>
      </c>
    </row>
    <row r="168" spans="1:9" ht="14.25" customHeight="1" x14ac:dyDescent="0.45">
      <c r="A168" s="2" t="s">
        <v>66</v>
      </c>
      <c r="B168" s="3">
        <v>91047038565</v>
      </c>
      <c r="C168" s="2" t="s">
        <v>166</v>
      </c>
      <c r="D168" s="2" t="s">
        <v>167</v>
      </c>
      <c r="E168" s="21">
        <v>46142</v>
      </c>
      <c r="F168" s="2">
        <v>219.905</v>
      </c>
      <c r="G168" s="2">
        <v>121.41</v>
      </c>
      <c r="H168" s="12">
        <f t="shared" si="0"/>
        <v>26698.66605</v>
      </c>
      <c r="I168" s="2" t="s">
        <v>34</v>
      </c>
    </row>
    <row r="169" spans="1:9" ht="14.25" customHeight="1" x14ac:dyDescent="0.45">
      <c r="A169" s="2" t="s">
        <v>66</v>
      </c>
      <c r="B169" s="3" t="s">
        <v>168</v>
      </c>
      <c r="C169" s="2" t="s">
        <v>169</v>
      </c>
      <c r="D169" s="2" t="s">
        <v>170</v>
      </c>
      <c r="E169" s="21">
        <v>46142</v>
      </c>
      <c r="F169" s="2">
        <v>137.28700000000001</v>
      </c>
      <c r="G169" s="2">
        <v>218.51</v>
      </c>
      <c r="H169" s="12">
        <f t="shared" si="0"/>
        <v>29998.58237</v>
      </c>
      <c r="I169" s="2" t="s">
        <v>34</v>
      </c>
    </row>
    <row r="170" spans="1:9" ht="14.25" customHeight="1" x14ac:dyDescent="0.45">
      <c r="A170" s="2" t="s">
        <v>66</v>
      </c>
      <c r="B170" s="3">
        <v>3108075281</v>
      </c>
      <c r="C170" s="2" t="s">
        <v>171</v>
      </c>
      <c r="D170" s="2" t="s">
        <v>172</v>
      </c>
      <c r="E170" s="21">
        <v>46142</v>
      </c>
      <c r="F170" s="2">
        <v>918.42200000000003</v>
      </c>
      <c r="G170" s="2">
        <v>32.6631</v>
      </c>
      <c r="H170" s="12">
        <f t="shared" si="0"/>
        <v>29998.509628200001</v>
      </c>
      <c r="I170" s="2" t="s">
        <v>34</v>
      </c>
    </row>
    <row r="171" spans="1:9" ht="14.25" customHeight="1" x14ac:dyDescent="0.45">
      <c r="A171" s="2" t="s">
        <v>66</v>
      </c>
      <c r="B171" s="3">
        <v>19839482</v>
      </c>
      <c r="C171" s="2" t="s">
        <v>31</v>
      </c>
      <c r="D171" s="2" t="s">
        <v>32</v>
      </c>
      <c r="E171" s="21">
        <v>46142</v>
      </c>
      <c r="F171" s="2">
        <v>282.601</v>
      </c>
      <c r="G171" s="2">
        <v>91.290199999999999</v>
      </c>
      <c r="H171" s="12">
        <f t="shared" si="0"/>
        <v>25798.7018102</v>
      </c>
      <c r="I171" s="2" t="s">
        <v>34</v>
      </c>
    </row>
    <row r="172" spans="1:9" ht="14.25" customHeight="1" x14ac:dyDescent="0.45">
      <c r="A172" s="2" t="s">
        <v>66</v>
      </c>
      <c r="B172" s="3" t="s">
        <v>163</v>
      </c>
      <c r="C172" s="2" t="s">
        <v>164</v>
      </c>
      <c r="D172" s="2" t="s">
        <v>165</v>
      </c>
      <c r="E172" s="21">
        <v>46146</v>
      </c>
      <c r="F172" s="2">
        <v>89.932000000000002</v>
      </c>
      <c r="G172" s="2">
        <v>27.797599999999999</v>
      </c>
      <c r="H172" s="12">
        <f t="shared" si="0"/>
        <v>2499.8937632000002</v>
      </c>
      <c r="I172" s="2" t="s">
        <v>34</v>
      </c>
    </row>
    <row r="173" spans="1:9" ht="14.25" customHeight="1" x14ac:dyDescent="0.45">
      <c r="A173" s="2" t="s">
        <v>66</v>
      </c>
      <c r="B173" s="3" t="s">
        <v>163</v>
      </c>
      <c r="C173" s="2" t="s">
        <v>164</v>
      </c>
      <c r="D173" s="2" t="s">
        <v>165</v>
      </c>
      <c r="E173" s="21">
        <v>46146</v>
      </c>
      <c r="F173" s="2">
        <v>98.924000000000007</v>
      </c>
      <c r="G173" s="2">
        <v>27.797599999999999</v>
      </c>
      <c r="H173" s="12">
        <f t="shared" si="0"/>
        <v>2749.8497824000001</v>
      </c>
      <c r="I173" s="2" t="s">
        <v>34</v>
      </c>
    </row>
    <row r="174" spans="1:9" ht="14.25" customHeight="1" x14ac:dyDescent="0.45">
      <c r="A174" s="2" t="s">
        <v>66</v>
      </c>
      <c r="B174" s="3" t="s">
        <v>163</v>
      </c>
      <c r="C174" s="2" t="s">
        <v>164</v>
      </c>
      <c r="D174" s="2" t="s">
        <v>165</v>
      </c>
      <c r="E174" s="21">
        <v>46146</v>
      </c>
      <c r="F174" s="2">
        <v>98.924000000000007</v>
      </c>
      <c r="G174" s="2">
        <v>27.797599999999999</v>
      </c>
      <c r="H174" s="12">
        <f t="shared" si="0"/>
        <v>2749.8497824000001</v>
      </c>
      <c r="I174" s="2" t="s">
        <v>34</v>
      </c>
    </row>
    <row r="175" spans="1:9" ht="14.25" customHeight="1" x14ac:dyDescent="0.45">
      <c r="A175" s="2" t="s">
        <v>66</v>
      </c>
      <c r="B175" s="3">
        <v>91047038565</v>
      </c>
      <c r="C175" s="2" t="s">
        <v>166</v>
      </c>
      <c r="D175" s="2" t="s">
        <v>167</v>
      </c>
      <c r="E175" s="21">
        <v>46146</v>
      </c>
      <c r="F175" s="2">
        <v>27.015999999999998</v>
      </c>
      <c r="G175" s="2">
        <v>122.146</v>
      </c>
      <c r="H175" s="12">
        <f t="shared" si="0"/>
        <v>3299.8963359999998</v>
      </c>
      <c r="I175" s="2" t="s">
        <v>34</v>
      </c>
    </row>
    <row r="176" spans="1:9" ht="14.25" customHeight="1" x14ac:dyDescent="0.45">
      <c r="A176" s="2" t="s">
        <v>66</v>
      </c>
      <c r="B176" s="3">
        <v>91047038565</v>
      </c>
      <c r="C176" s="2" t="s">
        <v>166</v>
      </c>
      <c r="D176" s="2" t="s">
        <v>167</v>
      </c>
      <c r="E176" s="21">
        <v>46146</v>
      </c>
      <c r="F176" s="2">
        <v>29.716999999999999</v>
      </c>
      <c r="G176" s="2">
        <v>122.146</v>
      </c>
      <c r="H176" s="12">
        <f t="shared" si="0"/>
        <v>3629.8126819999998</v>
      </c>
      <c r="I176" s="2" t="s">
        <v>34</v>
      </c>
    </row>
    <row r="177" spans="1:9" ht="14.25" customHeight="1" x14ac:dyDescent="0.45">
      <c r="A177" s="2" t="s">
        <v>66</v>
      </c>
      <c r="B177" s="3">
        <v>91047038565</v>
      </c>
      <c r="C177" s="2" t="s">
        <v>166</v>
      </c>
      <c r="D177" s="2" t="s">
        <v>167</v>
      </c>
      <c r="E177" s="21">
        <v>46146</v>
      </c>
      <c r="F177" s="2">
        <v>29.716999999999999</v>
      </c>
      <c r="G177" s="2">
        <v>122.146</v>
      </c>
      <c r="H177" s="12">
        <f t="shared" si="0"/>
        <v>3629.8126819999998</v>
      </c>
      <c r="I177" s="2" t="s">
        <v>34</v>
      </c>
    </row>
    <row r="178" spans="1:9" ht="14.25" customHeight="1" x14ac:dyDescent="0.45">
      <c r="A178" s="2" t="s">
        <v>66</v>
      </c>
      <c r="B178" s="3">
        <v>19839482</v>
      </c>
      <c r="C178" s="2" t="s">
        <v>31</v>
      </c>
      <c r="D178" s="2" t="s">
        <v>32</v>
      </c>
      <c r="E178" s="21">
        <v>46146</v>
      </c>
      <c r="F178" s="2">
        <v>50.624000000000002</v>
      </c>
      <c r="G178" s="2">
        <v>91.257099999999994</v>
      </c>
      <c r="H178" s="12">
        <f t="shared" si="0"/>
        <v>4619.7994304000003</v>
      </c>
      <c r="I178" s="2" t="s">
        <v>34</v>
      </c>
    </row>
    <row r="179" spans="1:9" ht="14.25" customHeight="1" x14ac:dyDescent="0.45">
      <c r="A179" s="2" t="s">
        <v>66</v>
      </c>
      <c r="B179" s="3">
        <v>19839482</v>
      </c>
      <c r="C179" s="2" t="s">
        <v>31</v>
      </c>
      <c r="D179" s="2" t="s">
        <v>32</v>
      </c>
      <c r="E179" s="21">
        <v>46146</v>
      </c>
      <c r="F179" s="2">
        <v>50.624000000000002</v>
      </c>
      <c r="G179" s="2">
        <v>91.257099999999994</v>
      </c>
      <c r="H179" s="12">
        <f t="shared" si="0"/>
        <v>4619.7994304000003</v>
      </c>
      <c r="I179" s="2" t="s">
        <v>34</v>
      </c>
    </row>
    <row r="180" spans="1:9" ht="14.25" customHeight="1" x14ac:dyDescent="0.45">
      <c r="A180" s="2" t="s">
        <v>66</v>
      </c>
      <c r="B180" s="3">
        <v>19839482</v>
      </c>
      <c r="C180" s="2" t="s">
        <v>31</v>
      </c>
      <c r="D180" s="2" t="s">
        <v>32</v>
      </c>
      <c r="E180" s="21">
        <v>46146</v>
      </c>
      <c r="F180" s="2">
        <v>46.021999999999998</v>
      </c>
      <c r="G180" s="2">
        <v>91.257099999999994</v>
      </c>
      <c r="H180" s="12">
        <f t="shared" si="0"/>
        <v>4199.8342561999998</v>
      </c>
      <c r="I180" s="2" t="s">
        <v>34</v>
      </c>
    </row>
    <row r="181" spans="1:9" ht="14.25" customHeight="1" x14ac:dyDescent="0.45">
      <c r="A181" s="2" t="s">
        <v>66</v>
      </c>
      <c r="B181" s="3" t="s">
        <v>163</v>
      </c>
      <c r="C181" s="2" t="s">
        <v>164</v>
      </c>
      <c r="D181" s="2" t="s">
        <v>165</v>
      </c>
      <c r="E181" s="21">
        <v>46147</v>
      </c>
      <c r="F181" s="2">
        <v>98.447000000000003</v>
      </c>
      <c r="G181" s="2">
        <v>27.932400000000001</v>
      </c>
      <c r="H181" s="12">
        <f t="shared" si="0"/>
        <v>2749.8609828000003</v>
      </c>
      <c r="I181" s="2" t="s">
        <v>34</v>
      </c>
    </row>
    <row r="182" spans="1:9" ht="14.25" customHeight="1" x14ac:dyDescent="0.45">
      <c r="A182" s="2" t="s">
        <v>66</v>
      </c>
      <c r="B182" s="3" t="s">
        <v>163</v>
      </c>
      <c r="C182" s="2" t="s">
        <v>164</v>
      </c>
      <c r="D182" s="2" t="s">
        <v>165</v>
      </c>
      <c r="E182" s="21">
        <v>46148</v>
      </c>
      <c r="F182" s="2">
        <v>96.989000000000004</v>
      </c>
      <c r="G182" s="2">
        <v>28.3523</v>
      </c>
      <c r="H182" s="12">
        <f t="shared" si="0"/>
        <v>2749.8612247000001</v>
      </c>
      <c r="I182" s="2" t="s">
        <v>34</v>
      </c>
    </row>
    <row r="183" spans="1:9" ht="14.25" customHeight="1" x14ac:dyDescent="0.45">
      <c r="A183" s="2" t="s">
        <v>66</v>
      </c>
      <c r="B183" s="3">
        <v>91047038565</v>
      </c>
      <c r="C183" s="2" t="s">
        <v>166</v>
      </c>
      <c r="D183" s="2" t="s">
        <v>167</v>
      </c>
      <c r="E183" s="21">
        <v>46148</v>
      </c>
      <c r="F183" s="2">
        <v>29.129000000000001</v>
      </c>
      <c r="G183" s="2">
        <v>124.61199999999999</v>
      </c>
      <c r="H183" s="12">
        <f t="shared" si="0"/>
        <v>3629.822948</v>
      </c>
      <c r="I183" s="2" t="s">
        <v>34</v>
      </c>
    </row>
    <row r="184" spans="1:9" ht="14.25" customHeight="1" x14ac:dyDescent="0.45">
      <c r="A184" s="2" t="s">
        <v>66</v>
      </c>
      <c r="B184" s="3">
        <v>19839482</v>
      </c>
      <c r="C184" s="2" t="s">
        <v>31</v>
      </c>
      <c r="D184" s="2" t="s">
        <v>32</v>
      </c>
      <c r="E184" s="21">
        <v>46148</v>
      </c>
      <c r="F184" s="2">
        <v>50.249000000000002</v>
      </c>
      <c r="G184" s="2">
        <v>91.936700000000002</v>
      </c>
      <c r="H184" s="12">
        <f t="shared" si="0"/>
        <v>4619.7272383</v>
      </c>
      <c r="I184" s="2" t="s">
        <v>34</v>
      </c>
    </row>
    <row r="185" spans="1:9" ht="14.25" customHeight="1" x14ac:dyDescent="0.45">
      <c r="A185" s="2" t="s">
        <v>66</v>
      </c>
      <c r="B185" s="3" t="s">
        <v>163</v>
      </c>
      <c r="C185" s="2" t="s">
        <v>164</v>
      </c>
      <c r="D185" s="2" t="s">
        <v>165</v>
      </c>
      <c r="E185" s="21">
        <v>46149</v>
      </c>
      <c r="F185" s="2">
        <v>96.772000000000006</v>
      </c>
      <c r="G185" s="2">
        <v>28.415900000000001</v>
      </c>
      <c r="H185" s="12">
        <f t="shared" si="0"/>
        <v>2749.8634748000004</v>
      </c>
      <c r="I185" s="2" t="s">
        <v>34</v>
      </c>
    </row>
    <row r="186" spans="1:9" ht="14.25" customHeight="1" x14ac:dyDescent="0.45">
      <c r="A186" s="2" t="s">
        <v>66</v>
      </c>
      <c r="B186" s="3">
        <v>91047038565</v>
      </c>
      <c r="C186" s="2" t="s">
        <v>166</v>
      </c>
      <c r="D186" s="2" t="s">
        <v>167</v>
      </c>
      <c r="E186" s="21">
        <v>46149</v>
      </c>
      <c r="F186" s="2">
        <v>28.823</v>
      </c>
      <c r="G186" s="2">
        <v>125.93600000000001</v>
      </c>
      <c r="H186" s="12">
        <f t="shared" si="0"/>
        <v>3629.8533280000001</v>
      </c>
      <c r="I186" s="2" t="s">
        <v>34</v>
      </c>
    </row>
    <row r="187" spans="1:9" ht="14.25" customHeight="1" x14ac:dyDescent="0.45">
      <c r="A187" s="2" t="s">
        <v>66</v>
      </c>
      <c r="B187" s="3">
        <v>19839482</v>
      </c>
      <c r="C187" s="2" t="s">
        <v>31</v>
      </c>
      <c r="D187" s="2" t="s">
        <v>32</v>
      </c>
      <c r="E187" s="21">
        <v>46149</v>
      </c>
      <c r="F187" s="2">
        <v>50.320999999999998</v>
      </c>
      <c r="G187" s="2">
        <v>91.806700000000006</v>
      </c>
      <c r="H187" s="12">
        <f t="shared" si="0"/>
        <v>4619.8049507000005</v>
      </c>
      <c r="I187" s="2" t="s">
        <v>34</v>
      </c>
    </row>
    <row r="188" spans="1:9" ht="14.25" customHeight="1" x14ac:dyDescent="0.45">
      <c r="A188" s="2" t="s">
        <v>66</v>
      </c>
      <c r="B188" s="3" t="s">
        <v>163</v>
      </c>
      <c r="C188" s="2" t="s">
        <v>164</v>
      </c>
      <c r="D188" s="2" t="s">
        <v>165</v>
      </c>
      <c r="E188" s="21">
        <v>46150</v>
      </c>
      <c r="F188" s="2">
        <v>97.254999999999995</v>
      </c>
      <c r="G188" s="2">
        <v>28.2746</v>
      </c>
      <c r="H188" s="12">
        <f t="shared" si="0"/>
        <v>2749.846223</v>
      </c>
      <c r="I188" s="2" t="s">
        <v>34</v>
      </c>
    </row>
    <row r="189" spans="1:9" ht="14.25" customHeight="1" x14ac:dyDescent="0.45">
      <c r="A189" s="2" t="s">
        <v>66</v>
      </c>
      <c r="B189" s="3">
        <v>91047038565</v>
      </c>
      <c r="C189" s="2" t="s">
        <v>166</v>
      </c>
      <c r="D189" s="2" t="s">
        <v>167</v>
      </c>
      <c r="E189" s="21">
        <v>46150</v>
      </c>
      <c r="F189" s="2">
        <v>28.838000000000001</v>
      </c>
      <c r="G189" s="2">
        <v>125.869</v>
      </c>
      <c r="H189" s="12">
        <f t="shared" si="0"/>
        <v>3629.8102220000001</v>
      </c>
      <c r="I189" s="2" t="s">
        <v>34</v>
      </c>
    </row>
    <row r="190" spans="1:9" ht="14.25" customHeight="1" x14ac:dyDescent="0.45">
      <c r="A190" s="2" t="s">
        <v>66</v>
      </c>
      <c r="B190" s="3" t="s">
        <v>168</v>
      </c>
      <c r="C190" s="2" t="s">
        <v>169</v>
      </c>
      <c r="D190" s="2" t="s">
        <v>170</v>
      </c>
      <c r="E190" s="21">
        <v>46150</v>
      </c>
      <c r="F190" s="2">
        <v>24.818999999999999</v>
      </c>
      <c r="G190" s="2">
        <v>221.59</v>
      </c>
      <c r="H190" s="12">
        <f t="shared" si="0"/>
        <v>5499.64221</v>
      </c>
      <c r="I190" s="2" t="s">
        <v>34</v>
      </c>
    </row>
    <row r="191" spans="1:9" ht="14.25" customHeight="1" x14ac:dyDescent="0.45">
      <c r="A191" s="2" t="s">
        <v>66</v>
      </c>
      <c r="B191" s="3">
        <v>3108075281</v>
      </c>
      <c r="C191" s="2" t="s">
        <v>171</v>
      </c>
      <c r="D191" s="2" t="s">
        <v>172</v>
      </c>
      <c r="E191" s="21">
        <v>46150</v>
      </c>
      <c r="F191" s="2">
        <v>146.947</v>
      </c>
      <c r="G191" s="2">
        <v>34.024099999999997</v>
      </c>
      <c r="H191" s="12">
        <f t="shared" si="0"/>
        <v>4999.7394226999995</v>
      </c>
      <c r="I191" s="2" t="s">
        <v>34</v>
      </c>
    </row>
    <row r="192" spans="1:9" ht="14.25" customHeight="1" x14ac:dyDescent="0.45">
      <c r="A192" s="2" t="s">
        <v>66</v>
      </c>
      <c r="B192" s="3">
        <v>19839482</v>
      </c>
      <c r="C192" s="2" t="s">
        <v>31</v>
      </c>
      <c r="D192" s="2" t="s">
        <v>32</v>
      </c>
      <c r="E192" s="21">
        <v>46150</v>
      </c>
      <c r="F192" s="2">
        <v>50.475999999999999</v>
      </c>
      <c r="G192" s="2">
        <v>91.524500000000003</v>
      </c>
      <c r="H192" s="12">
        <f t="shared" si="0"/>
        <v>4619.7906620000003</v>
      </c>
      <c r="I192" s="2" t="s">
        <v>34</v>
      </c>
    </row>
    <row r="193" spans="1:9" ht="14.25" customHeight="1" x14ac:dyDescent="0.45">
      <c r="A193" s="2" t="s">
        <v>66</v>
      </c>
      <c r="B193" s="3" t="s">
        <v>163</v>
      </c>
      <c r="C193" s="2" t="s">
        <v>164</v>
      </c>
      <c r="D193" s="2" t="s">
        <v>165</v>
      </c>
      <c r="E193" s="21">
        <v>46153</v>
      </c>
      <c r="F193" s="2">
        <v>98.912000000000006</v>
      </c>
      <c r="G193" s="2">
        <v>27.800999999999998</v>
      </c>
      <c r="H193" s="12">
        <f t="shared" si="0"/>
        <v>2749.8525119999999</v>
      </c>
      <c r="I193" s="2" t="s">
        <v>34</v>
      </c>
    </row>
    <row r="194" spans="1:9" ht="14.25" customHeight="1" x14ac:dyDescent="0.45">
      <c r="A194" s="2" t="s">
        <v>66</v>
      </c>
      <c r="B194" s="3" t="s">
        <v>163</v>
      </c>
      <c r="C194" s="2" t="s">
        <v>164</v>
      </c>
      <c r="D194" s="2" t="s">
        <v>165</v>
      </c>
      <c r="E194" s="21">
        <v>46153</v>
      </c>
      <c r="F194" s="2">
        <v>98.912000000000006</v>
      </c>
      <c r="G194" s="2">
        <v>27.800999999999998</v>
      </c>
      <c r="H194" s="12">
        <f t="shared" si="0"/>
        <v>2749.8525119999999</v>
      </c>
      <c r="I194" s="2" t="s">
        <v>34</v>
      </c>
    </row>
    <row r="195" spans="1:9" ht="14.25" customHeight="1" x14ac:dyDescent="0.45">
      <c r="A195" s="2" t="s">
        <v>66</v>
      </c>
      <c r="B195" s="3" t="s">
        <v>163</v>
      </c>
      <c r="C195" s="2" t="s">
        <v>164</v>
      </c>
      <c r="D195" s="2" t="s">
        <v>165</v>
      </c>
      <c r="E195" s="21">
        <v>46153</v>
      </c>
      <c r="F195" s="2">
        <v>98.912000000000006</v>
      </c>
      <c r="G195" s="2">
        <v>27.800999999999998</v>
      </c>
      <c r="H195" s="12">
        <f t="shared" si="0"/>
        <v>2749.8525119999999</v>
      </c>
      <c r="I195" s="2" t="s">
        <v>34</v>
      </c>
    </row>
    <row r="196" spans="1:9" ht="14.25" customHeight="1" x14ac:dyDescent="0.45">
      <c r="A196" s="2" t="s">
        <v>66</v>
      </c>
      <c r="B196" s="3">
        <v>91047038565</v>
      </c>
      <c r="C196" s="2" t="s">
        <v>166</v>
      </c>
      <c r="D196" s="2" t="s">
        <v>167</v>
      </c>
      <c r="E196" s="21">
        <v>46153</v>
      </c>
      <c r="F196" s="2">
        <v>29.154</v>
      </c>
      <c r="G196" s="2">
        <v>124.50700000000001</v>
      </c>
      <c r="H196" s="12">
        <f t="shared" si="0"/>
        <v>3629.877078</v>
      </c>
      <c r="I196" s="2" t="s">
        <v>34</v>
      </c>
    </row>
    <row r="197" spans="1:9" ht="14.25" customHeight="1" x14ac:dyDescent="0.45">
      <c r="A197" s="2" t="s">
        <v>66</v>
      </c>
      <c r="B197" s="3">
        <v>91047038565</v>
      </c>
      <c r="C197" s="2" t="s">
        <v>166</v>
      </c>
      <c r="D197" s="2" t="s">
        <v>167</v>
      </c>
      <c r="E197" s="21">
        <v>46153</v>
      </c>
      <c r="F197" s="2">
        <v>29.154</v>
      </c>
      <c r="G197" s="2">
        <v>124.50700000000001</v>
      </c>
      <c r="H197" s="12">
        <f t="shared" si="0"/>
        <v>3629.877078</v>
      </c>
      <c r="I197" s="2" t="s">
        <v>34</v>
      </c>
    </row>
    <row r="198" spans="1:9" ht="14.25" customHeight="1" x14ac:dyDescent="0.45">
      <c r="A198" s="2" t="s">
        <v>66</v>
      </c>
      <c r="B198" s="3">
        <v>91047038565</v>
      </c>
      <c r="C198" s="2" t="s">
        <v>166</v>
      </c>
      <c r="D198" s="2" t="s">
        <v>167</v>
      </c>
      <c r="E198" s="21">
        <v>46153</v>
      </c>
      <c r="F198" s="2">
        <v>29.154</v>
      </c>
      <c r="G198" s="2">
        <v>124.50700000000001</v>
      </c>
      <c r="H198" s="12">
        <f t="shared" si="0"/>
        <v>3629.877078</v>
      </c>
      <c r="I198" s="2" t="s">
        <v>34</v>
      </c>
    </row>
    <row r="199" spans="1:9" ht="14.25" customHeight="1" x14ac:dyDescent="0.45">
      <c r="A199" s="2" t="s">
        <v>66</v>
      </c>
      <c r="B199" s="3">
        <v>19839482</v>
      </c>
      <c r="C199" s="2" t="s">
        <v>31</v>
      </c>
      <c r="D199" s="2" t="s">
        <v>32</v>
      </c>
      <c r="E199" s="21">
        <v>46153</v>
      </c>
      <c r="F199" s="2">
        <v>50.860999999999997</v>
      </c>
      <c r="G199" s="2">
        <v>90.830600000000004</v>
      </c>
      <c r="H199" s="12">
        <f t="shared" si="0"/>
        <v>4619.7351466</v>
      </c>
      <c r="I199" s="2" t="s">
        <v>34</v>
      </c>
    </row>
    <row r="200" spans="1:9" ht="14.25" customHeight="1" x14ac:dyDescent="0.45">
      <c r="A200" s="2" t="s">
        <v>66</v>
      </c>
      <c r="B200" s="3">
        <v>19839482</v>
      </c>
      <c r="C200" s="2" t="s">
        <v>31</v>
      </c>
      <c r="D200" s="2" t="s">
        <v>32</v>
      </c>
      <c r="E200" s="21">
        <v>46153</v>
      </c>
      <c r="F200" s="2">
        <v>50.860999999999997</v>
      </c>
      <c r="G200" s="2">
        <v>90.830600000000004</v>
      </c>
      <c r="H200" s="12">
        <f t="shared" si="0"/>
        <v>4619.7351466</v>
      </c>
      <c r="I200" s="2" t="s">
        <v>34</v>
      </c>
    </row>
    <row r="201" spans="1:9" ht="14.25" customHeight="1" x14ac:dyDescent="0.45">
      <c r="A201" s="2" t="s">
        <v>66</v>
      </c>
      <c r="B201" s="3">
        <v>19839482</v>
      </c>
      <c r="C201" s="2" t="s">
        <v>31</v>
      </c>
      <c r="D201" s="2" t="s">
        <v>32</v>
      </c>
      <c r="E201" s="21">
        <v>46153</v>
      </c>
      <c r="F201" s="2">
        <v>50.860999999999997</v>
      </c>
      <c r="G201" s="2">
        <v>90.830600000000004</v>
      </c>
      <c r="H201" s="12">
        <f t="shared" si="0"/>
        <v>4619.7351466</v>
      </c>
      <c r="I201" s="2" t="s">
        <v>34</v>
      </c>
    </row>
    <row r="202" spans="1:9" ht="14.25" customHeight="1" x14ac:dyDescent="0.45">
      <c r="A202" s="2" t="s">
        <v>66</v>
      </c>
      <c r="B202" s="3" t="s">
        <v>163</v>
      </c>
      <c r="C202" s="2" t="s">
        <v>164</v>
      </c>
      <c r="D202" s="2" t="s">
        <v>165</v>
      </c>
      <c r="E202" s="21">
        <v>46154</v>
      </c>
      <c r="F202" s="2">
        <v>921.49699999999996</v>
      </c>
      <c r="G202" s="2">
        <v>27.128399999999999</v>
      </c>
      <c r="H202" s="12">
        <f t="shared" si="0"/>
        <v>24998.7392148</v>
      </c>
      <c r="I202" s="2" t="s">
        <v>34</v>
      </c>
    </row>
    <row r="203" spans="1:9" ht="14.25" customHeight="1" x14ac:dyDescent="0.45">
      <c r="A203" s="2" t="s">
        <v>66</v>
      </c>
      <c r="B203" s="3" t="s">
        <v>163</v>
      </c>
      <c r="C203" s="2" t="s">
        <v>164</v>
      </c>
      <c r="D203" s="2" t="s">
        <v>165</v>
      </c>
      <c r="E203" s="21">
        <v>46154</v>
      </c>
      <c r="F203" s="2">
        <v>101.36499999999999</v>
      </c>
      <c r="G203" s="2">
        <v>27.128399999999999</v>
      </c>
      <c r="H203" s="12">
        <f t="shared" si="0"/>
        <v>2749.8702659999999</v>
      </c>
      <c r="I203" s="2" t="s">
        <v>34</v>
      </c>
    </row>
    <row r="204" spans="1:9" ht="14.25" customHeight="1" x14ac:dyDescent="0.45">
      <c r="A204" s="2" t="s">
        <v>66</v>
      </c>
      <c r="B204" s="3">
        <v>91047038565</v>
      </c>
      <c r="C204" s="2" t="s">
        <v>166</v>
      </c>
      <c r="D204" s="2" t="s">
        <v>167</v>
      </c>
      <c r="E204" s="21">
        <v>46154</v>
      </c>
      <c r="F204" s="2">
        <v>29.902000000000001</v>
      </c>
      <c r="G204" s="2">
        <v>121.389</v>
      </c>
      <c r="H204" s="12">
        <f t="shared" si="0"/>
        <v>3629.773878</v>
      </c>
      <c r="I204" s="2" t="s">
        <v>34</v>
      </c>
    </row>
    <row r="205" spans="1:9" ht="14.25" customHeight="1" x14ac:dyDescent="0.45">
      <c r="A205" s="2" t="s">
        <v>66</v>
      </c>
      <c r="B205" s="3">
        <v>91047038565</v>
      </c>
      <c r="C205" s="2" t="s">
        <v>166</v>
      </c>
      <c r="D205" s="2" t="s">
        <v>167</v>
      </c>
      <c r="E205" s="21">
        <v>46154</v>
      </c>
      <c r="F205" s="2">
        <v>205.93899999999999</v>
      </c>
      <c r="G205" s="2">
        <v>121.389</v>
      </c>
      <c r="H205" s="12">
        <f t="shared" si="0"/>
        <v>24998.729270999997</v>
      </c>
      <c r="I205" s="2" t="s">
        <v>34</v>
      </c>
    </row>
    <row r="206" spans="1:9" ht="14.25" customHeight="1" x14ac:dyDescent="0.45">
      <c r="A206" s="2" t="s">
        <v>66</v>
      </c>
      <c r="B206" s="3" t="s">
        <v>168</v>
      </c>
      <c r="C206" s="2" t="s">
        <v>169</v>
      </c>
      <c r="D206" s="2" t="s">
        <v>170</v>
      </c>
      <c r="E206" s="21">
        <v>46154</v>
      </c>
      <c r="F206" s="2">
        <v>116.866</v>
      </c>
      <c r="G206" s="2">
        <v>213.91</v>
      </c>
      <c r="H206" s="12">
        <f t="shared" si="0"/>
        <v>24998.806059999999</v>
      </c>
      <c r="I206" s="2" t="s">
        <v>34</v>
      </c>
    </row>
    <row r="207" spans="1:9" ht="14.25" customHeight="1" x14ac:dyDescent="0.45">
      <c r="A207" s="2" t="s">
        <v>66</v>
      </c>
      <c r="B207" s="3" t="s">
        <v>168</v>
      </c>
      <c r="C207" s="2" t="s">
        <v>169</v>
      </c>
      <c r="D207" s="2" t="s">
        <v>170</v>
      </c>
      <c r="E207" s="21">
        <v>46154</v>
      </c>
      <c r="F207" s="2">
        <v>25.71</v>
      </c>
      <c r="G207" s="2">
        <v>213.91</v>
      </c>
      <c r="H207" s="12">
        <f t="shared" si="0"/>
        <v>5499.6261000000004</v>
      </c>
      <c r="I207" s="2" t="s">
        <v>34</v>
      </c>
    </row>
    <row r="208" spans="1:9" ht="14.25" customHeight="1" x14ac:dyDescent="0.45">
      <c r="A208" s="2" t="s">
        <v>66</v>
      </c>
      <c r="B208" s="3">
        <v>3108075281</v>
      </c>
      <c r="C208" s="2" t="s">
        <v>171</v>
      </c>
      <c r="D208" s="2" t="s">
        <v>172</v>
      </c>
      <c r="E208" s="21">
        <v>46154</v>
      </c>
      <c r="F208" s="2">
        <v>758.24599999999998</v>
      </c>
      <c r="G208" s="2">
        <v>32.969200000000001</v>
      </c>
      <c r="H208" s="12">
        <f t="shared" si="0"/>
        <v>24998.764023200001</v>
      </c>
      <c r="I208" s="2" t="s">
        <v>34</v>
      </c>
    </row>
    <row r="209" spans="1:9" ht="14.25" customHeight="1" x14ac:dyDescent="0.45">
      <c r="A209" s="2" t="s">
        <v>66</v>
      </c>
      <c r="B209" s="3">
        <v>3108075281</v>
      </c>
      <c r="C209" s="2" t="s">
        <v>171</v>
      </c>
      <c r="D209" s="2" t="s">
        <v>172</v>
      </c>
      <c r="E209" s="21">
        <v>46154</v>
      </c>
      <c r="F209" s="2">
        <v>166.81399999999999</v>
      </c>
      <c r="G209" s="2">
        <v>32.969200000000001</v>
      </c>
      <c r="H209" s="12">
        <f t="shared" si="0"/>
        <v>5499.7241287999996</v>
      </c>
      <c r="I209" s="2" t="s">
        <v>34</v>
      </c>
    </row>
    <row r="210" spans="1:9" ht="14.25" customHeight="1" x14ac:dyDescent="0.45">
      <c r="A210" s="2" t="s">
        <v>66</v>
      </c>
      <c r="B210" s="3">
        <v>19839482</v>
      </c>
      <c r="C210" s="2" t="s">
        <v>31</v>
      </c>
      <c r="D210" s="2" t="s">
        <v>32</v>
      </c>
      <c r="E210" s="21">
        <v>46154</v>
      </c>
      <c r="F210" s="2">
        <v>51.537999999999997</v>
      </c>
      <c r="G210" s="2">
        <v>89.637500000000003</v>
      </c>
      <c r="H210" s="12">
        <f t="shared" si="0"/>
        <v>4619.7374749999999</v>
      </c>
      <c r="I210" s="2" t="s">
        <v>34</v>
      </c>
    </row>
    <row r="211" spans="1:9" ht="14.25" customHeight="1" x14ac:dyDescent="0.45">
      <c r="A211" s="2" t="s">
        <v>66</v>
      </c>
      <c r="B211" s="3" t="s">
        <v>163</v>
      </c>
      <c r="C211" s="2" t="s">
        <v>164</v>
      </c>
      <c r="D211" s="2" t="s">
        <v>165</v>
      </c>
      <c r="E211" s="21">
        <v>46155</v>
      </c>
      <c r="F211" s="2">
        <v>100.51600000000001</v>
      </c>
      <c r="G211" s="2">
        <v>27.357299999999999</v>
      </c>
      <c r="H211" s="12">
        <f t="shared" si="0"/>
        <v>2749.8463667999999</v>
      </c>
      <c r="I211" s="2" t="s">
        <v>34</v>
      </c>
    </row>
    <row r="212" spans="1:9" ht="14.25" customHeight="1" x14ac:dyDescent="0.45">
      <c r="A212" s="2" t="s">
        <v>66</v>
      </c>
      <c r="B212" s="3">
        <v>91047038565</v>
      </c>
      <c r="C212" s="2" t="s">
        <v>166</v>
      </c>
      <c r="D212" s="2" t="s">
        <v>167</v>
      </c>
      <c r="E212" s="21">
        <v>46155</v>
      </c>
      <c r="F212" s="2">
        <v>29.759</v>
      </c>
      <c r="G212" s="2">
        <v>121.974</v>
      </c>
      <c r="H212" s="12">
        <f t="shared" si="0"/>
        <v>3629.8242660000001</v>
      </c>
      <c r="I212" s="2" t="s">
        <v>34</v>
      </c>
    </row>
    <row r="213" spans="1:9" ht="14.25" customHeight="1" x14ac:dyDescent="0.45">
      <c r="A213" s="2" t="s">
        <v>66</v>
      </c>
      <c r="B213" s="3">
        <v>19839482</v>
      </c>
      <c r="C213" s="2" t="s">
        <v>31</v>
      </c>
      <c r="D213" s="2" t="s">
        <v>32</v>
      </c>
      <c r="E213" s="21">
        <v>46155</v>
      </c>
      <c r="F213" s="2">
        <v>51.469000000000001</v>
      </c>
      <c r="G213" s="2">
        <v>89.757499999999993</v>
      </c>
      <c r="H213" s="12">
        <f t="shared" si="0"/>
        <v>4619.7287674999998</v>
      </c>
      <c r="I213" s="2" t="s">
        <v>34</v>
      </c>
    </row>
    <row r="214" spans="1:9" ht="14.25" customHeight="1" x14ac:dyDescent="0.45">
      <c r="A214" s="2" t="s">
        <v>66</v>
      </c>
      <c r="B214" s="3" t="s">
        <v>163</v>
      </c>
      <c r="C214" s="2" t="s">
        <v>164</v>
      </c>
      <c r="D214" s="2" t="s">
        <v>165</v>
      </c>
      <c r="E214" s="21">
        <v>46164</v>
      </c>
      <c r="F214" s="2">
        <v>905.75199999999995</v>
      </c>
      <c r="G214" s="2">
        <v>27.6</v>
      </c>
      <c r="H214" s="12">
        <f t="shared" si="0"/>
        <v>24998.7552</v>
      </c>
      <c r="I214" s="2" t="s">
        <v>34</v>
      </c>
    </row>
    <row r="215" spans="1:9" ht="14.25" customHeight="1" x14ac:dyDescent="0.45">
      <c r="A215" s="2" t="s">
        <v>66</v>
      </c>
      <c r="B215" s="3">
        <v>91047038565</v>
      </c>
      <c r="C215" s="2" t="s">
        <v>166</v>
      </c>
      <c r="D215" s="2" t="s">
        <v>167</v>
      </c>
      <c r="E215" s="21">
        <v>46164</v>
      </c>
      <c r="F215" s="2">
        <v>200.83</v>
      </c>
      <c r="G215" s="2">
        <v>124.477</v>
      </c>
      <c r="H215" s="12">
        <f t="shared" si="0"/>
        <v>24998.715910000003</v>
      </c>
      <c r="I215" s="2" t="s">
        <v>34</v>
      </c>
    </row>
    <row r="216" spans="1:9" ht="14.25" customHeight="1" x14ac:dyDescent="0.45">
      <c r="A216" s="2" t="s">
        <v>66</v>
      </c>
      <c r="B216" s="3" t="s">
        <v>168</v>
      </c>
      <c r="C216" s="2" t="s">
        <v>169</v>
      </c>
      <c r="D216" s="2" t="s">
        <v>170</v>
      </c>
      <c r="E216" s="21">
        <v>46164</v>
      </c>
      <c r="F216" s="2">
        <v>115.81</v>
      </c>
      <c r="G216" s="2">
        <v>215.86</v>
      </c>
      <c r="H216" s="12">
        <f t="shared" si="0"/>
        <v>24998.746600000002</v>
      </c>
      <c r="I216" s="2" t="s">
        <v>34</v>
      </c>
    </row>
    <row r="217" spans="1:9" ht="14.25" customHeight="1" x14ac:dyDescent="0.45">
      <c r="A217" s="2" t="s">
        <v>66</v>
      </c>
      <c r="B217" s="3">
        <v>3108075281</v>
      </c>
      <c r="C217" s="2" t="s">
        <v>171</v>
      </c>
      <c r="D217" s="2" t="s">
        <v>172</v>
      </c>
      <c r="E217" s="21">
        <v>46164</v>
      </c>
      <c r="F217" s="2">
        <v>750.66099999999994</v>
      </c>
      <c r="G217" s="2">
        <v>33.302300000000002</v>
      </c>
      <c r="H217" s="12">
        <f t="shared" si="0"/>
        <v>24998.737820300001</v>
      </c>
      <c r="I217" s="2" t="s">
        <v>34</v>
      </c>
    </row>
    <row r="218" spans="1:9" ht="14.25" customHeight="1" x14ac:dyDescent="0.45">
      <c r="A218" s="2" t="s">
        <v>66</v>
      </c>
      <c r="B218" s="3">
        <v>19839482</v>
      </c>
      <c r="C218" s="2" t="s">
        <v>31</v>
      </c>
      <c r="D218" s="2" t="s">
        <v>32</v>
      </c>
      <c r="E218" s="21">
        <v>46164</v>
      </c>
      <c r="F218" s="2">
        <v>276.55700000000002</v>
      </c>
      <c r="G218" s="2">
        <v>90.392700000000005</v>
      </c>
      <c r="H218" s="12">
        <f t="shared" si="0"/>
        <v>24998.733933900003</v>
      </c>
      <c r="I218" s="2" t="s">
        <v>34</v>
      </c>
    </row>
    <row r="219" spans="1:9" ht="14.25" customHeight="1" x14ac:dyDescent="0.45">
      <c r="A219" s="2" t="s">
        <v>66</v>
      </c>
      <c r="B219" s="3" t="s">
        <v>163</v>
      </c>
      <c r="C219" s="2" t="s">
        <v>164</v>
      </c>
      <c r="D219" s="2" t="s">
        <v>165</v>
      </c>
      <c r="E219" s="21">
        <v>46175</v>
      </c>
      <c r="F219" s="2">
        <v>901.298</v>
      </c>
      <c r="G219" s="2">
        <v>27.7364</v>
      </c>
      <c r="H219" s="12">
        <f t="shared" si="0"/>
        <v>24998.761847199999</v>
      </c>
      <c r="I219" s="2" t="s">
        <v>34</v>
      </c>
    </row>
    <row r="220" spans="1:9" ht="14.25" customHeight="1" x14ac:dyDescent="0.45">
      <c r="A220" s="2" t="s">
        <v>66</v>
      </c>
      <c r="B220" s="3">
        <v>91047038565</v>
      </c>
      <c r="C220" s="2" t="s">
        <v>166</v>
      </c>
      <c r="D220" s="2" t="s">
        <v>167</v>
      </c>
      <c r="E220" s="21">
        <v>46175</v>
      </c>
      <c r="F220" s="2">
        <v>202.78399999999999</v>
      </c>
      <c r="G220" s="2">
        <v>123.27800000000001</v>
      </c>
      <c r="H220" s="12">
        <f t="shared" si="0"/>
        <v>24998.805951999999</v>
      </c>
      <c r="I220" s="2" t="s">
        <v>34</v>
      </c>
    </row>
    <row r="221" spans="1:9" ht="14.25" customHeight="1" x14ac:dyDescent="0.45">
      <c r="A221" s="2" t="s">
        <v>66</v>
      </c>
      <c r="B221" s="3" t="s">
        <v>168</v>
      </c>
      <c r="C221" s="2" t="s">
        <v>169</v>
      </c>
      <c r="D221" s="2" t="s">
        <v>170</v>
      </c>
      <c r="E221" s="21">
        <v>46175</v>
      </c>
      <c r="F221" s="2">
        <v>115.762</v>
      </c>
      <c r="G221" s="2">
        <v>215.95</v>
      </c>
      <c r="H221" s="12">
        <f t="shared" si="0"/>
        <v>24998.803899999999</v>
      </c>
      <c r="I221" s="2" t="s">
        <v>34</v>
      </c>
    </row>
    <row r="222" spans="1:9" ht="14.25" customHeight="1" x14ac:dyDescent="0.45">
      <c r="A222" s="2" t="s">
        <v>66</v>
      </c>
      <c r="B222" s="3">
        <v>3108075281</v>
      </c>
      <c r="C222" s="2" t="s">
        <v>171</v>
      </c>
      <c r="D222" s="2" t="s">
        <v>172</v>
      </c>
      <c r="E222" s="21">
        <v>46175</v>
      </c>
      <c r="F222" s="2">
        <v>744.58199999999999</v>
      </c>
      <c r="G222" s="2">
        <v>33.574199999999998</v>
      </c>
      <c r="H222" s="12">
        <f t="shared" si="0"/>
        <v>24998.744984399997</v>
      </c>
      <c r="I222" s="2" t="s">
        <v>34</v>
      </c>
    </row>
    <row r="223" spans="1:9" ht="14.25" customHeight="1" x14ac:dyDescent="0.45">
      <c r="A223" s="2" t="s">
        <v>66</v>
      </c>
      <c r="B223" s="3">
        <v>19839482</v>
      </c>
      <c r="C223" s="2" t="s">
        <v>31</v>
      </c>
      <c r="D223" s="2" t="s">
        <v>32</v>
      </c>
      <c r="E223" s="21">
        <v>46175</v>
      </c>
      <c r="F223" s="2">
        <v>278.41800000000001</v>
      </c>
      <c r="G223" s="2">
        <v>89.788700000000006</v>
      </c>
      <c r="H223" s="12">
        <f t="shared" si="0"/>
        <v>24998.790276600001</v>
      </c>
      <c r="I223" s="2" t="s">
        <v>34</v>
      </c>
    </row>
    <row r="224" spans="1:9" ht="14.25" customHeight="1" x14ac:dyDescent="0.45">
      <c r="A224" s="2" t="s">
        <v>66</v>
      </c>
      <c r="B224" s="3" t="s">
        <v>163</v>
      </c>
      <c r="C224" s="2" t="s">
        <v>164</v>
      </c>
      <c r="D224" s="2" t="s">
        <v>165</v>
      </c>
      <c r="E224" s="21">
        <v>46182</v>
      </c>
      <c r="F224" s="2">
        <v>722.81500000000005</v>
      </c>
      <c r="G224" s="2">
        <v>27.668199999999999</v>
      </c>
      <c r="H224" s="12">
        <f t="shared" si="0"/>
        <v>19998.989982999999</v>
      </c>
      <c r="I224" s="2" t="s">
        <v>34</v>
      </c>
    </row>
    <row r="225" spans="1:9" ht="14.25" customHeight="1" x14ac:dyDescent="0.45">
      <c r="A225" s="2" t="s">
        <v>66</v>
      </c>
      <c r="B225" s="3">
        <v>91047038565</v>
      </c>
      <c r="C225" s="2" t="s">
        <v>166</v>
      </c>
      <c r="D225" s="2" t="s">
        <v>167</v>
      </c>
      <c r="E225" s="21">
        <v>46182</v>
      </c>
      <c r="F225" s="2">
        <v>162.85400000000001</v>
      </c>
      <c r="G225" s="2">
        <v>122.803</v>
      </c>
      <c r="H225" s="12">
        <f t="shared" si="0"/>
        <v>19998.959762000002</v>
      </c>
      <c r="I225" s="2" t="s">
        <v>34</v>
      </c>
    </row>
    <row r="226" spans="1:9" ht="14.25" customHeight="1" x14ac:dyDescent="0.45">
      <c r="A226" s="2" t="s">
        <v>66</v>
      </c>
      <c r="B226" s="3" t="s">
        <v>168</v>
      </c>
      <c r="C226" s="2" t="s">
        <v>169</v>
      </c>
      <c r="D226" s="2" t="s">
        <v>170</v>
      </c>
      <c r="E226" s="21">
        <v>46182</v>
      </c>
      <c r="F226" s="2">
        <v>93.497</v>
      </c>
      <c r="G226" s="2">
        <v>213.9</v>
      </c>
      <c r="H226" s="12">
        <f t="shared" si="0"/>
        <v>19999.008300000001</v>
      </c>
      <c r="I226" s="2" t="s">
        <v>34</v>
      </c>
    </row>
    <row r="227" spans="1:9" ht="14.25" customHeight="1" x14ac:dyDescent="0.45">
      <c r="A227" s="2" t="s">
        <v>66</v>
      </c>
      <c r="B227" s="3">
        <v>3108075281</v>
      </c>
      <c r="C227" s="2" t="s">
        <v>171</v>
      </c>
      <c r="D227" s="2" t="s">
        <v>172</v>
      </c>
      <c r="E227" s="21">
        <v>46182</v>
      </c>
      <c r="F227" s="2">
        <v>588.43100000000004</v>
      </c>
      <c r="G227" s="2">
        <v>33.987000000000002</v>
      </c>
      <c r="H227" s="12">
        <f t="shared" si="0"/>
        <v>19999.004397000004</v>
      </c>
      <c r="I227" s="2" t="s">
        <v>34</v>
      </c>
    </row>
    <row r="228" spans="1:9" ht="14.25" customHeight="1" x14ac:dyDescent="0.45">
      <c r="A228" s="2" t="s">
        <v>66</v>
      </c>
      <c r="B228" s="3">
        <v>19839482</v>
      </c>
      <c r="C228" s="2" t="s">
        <v>31</v>
      </c>
      <c r="D228" s="2" t="s">
        <v>32</v>
      </c>
      <c r="E228" s="21">
        <v>46182</v>
      </c>
      <c r="F228" s="2">
        <v>225.04300000000001</v>
      </c>
      <c r="G228" s="2">
        <v>88.867500000000007</v>
      </c>
      <c r="H228" s="12">
        <f t="shared" si="0"/>
        <v>19999.0088025</v>
      </c>
      <c r="I228" s="2" t="s">
        <v>34</v>
      </c>
    </row>
    <row r="229" spans="1:9" ht="14.25" customHeight="1" x14ac:dyDescent="0.45">
      <c r="A229" s="2" t="s">
        <v>66</v>
      </c>
      <c r="B229" s="3" t="s">
        <v>163</v>
      </c>
      <c r="C229" t="s">
        <v>164</v>
      </c>
      <c r="D229" t="s">
        <v>165</v>
      </c>
      <c r="E229" t="s">
        <v>173</v>
      </c>
      <c r="F229">
        <v>118.45699999999999</v>
      </c>
      <c r="G229">
        <v>29.545200000000001</v>
      </c>
      <c r="H229" s="12">
        <f t="shared" ref="H229:H280" si="1">G229*F229</f>
        <v>3499.8357563999998</v>
      </c>
      <c r="I229" s="2" t="s">
        <v>34</v>
      </c>
    </row>
    <row r="230" spans="1:9" ht="14.25" customHeight="1" x14ac:dyDescent="0.45">
      <c r="A230" s="2" t="s">
        <v>66</v>
      </c>
      <c r="B230" s="3">
        <v>91047038565</v>
      </c>
      <c r="C230" t="s">
        <v>166</v>
      </c>
      <c r="D230" t="s">
        <v>167</v>
      </c>
      <c r="E230" t="s">
        <v>173</v>
      </c>
      <c r="F230">
        <v>44.768999999999998</v>
      </c>
      <c r="G230">
        <v>129.547</v>
      </c>
      <c r="H230" s="12">
        <f t="shared" si="1"/>
        <v>5799.6896429999997</v>
      </c>
      <c r="I230" s="2" t="s">
        <v>34</v>
      </c>
    </row>
    <row r="231" spans="1:9" ht="14.25" customHeight="1" x14ac:dyDescent="0.45">
      <c r="A231" s="2" t="s">
        <v>66</v>
      </c>
      <c r="B231" s="3" t="s">
        <v>168</v>
      </c>
      <c r="C231" t="s">
        <v>181</v>
      </c>
      <c r="D231" t="s">
        <v>170</v>
      </c>
      <c r="E231" t="s">
        <v>173</v>
      </c>
      <c r="F231">
        <v>12.481</v>
      </c>
      <c r="G231">
        <v>224.33</v>
      </c>
      <c r="H231" s="12">
        <f t="shared" si="1"/>
        <v>2799.8627300000003</v>
      </c>
      <c r="I231" s="2" t="s">
        <v>34</v>
      </c>
    </row>
    <row r="232" spans="1:9" ht="14.25" customHeight="1" x14ac:dyDescent="0.45">
      <c r="A232" s="2" t="s">
        <v>66</v>
      </c>
      <c r="B232" s="3">
        <v>3108075281</v>
      </c>
      <c r="C232" t="s">
        <v>171</v>
      </c>
      <c r="D232" t="s">
        <v>172</v>
      </c>
      <c r="E232" t="s">
        <v>173</v>
      </c>
      <c r="F232">
        <v>79.539000000000001</v>
      </c>
      <c r="G232">
        <v>37.715299999999999</v>
      </c>
      <c r="H232" s="12">
        <f t="shared" si="1"/>
        <v>2999.8372466999999</v>
      </c>
      <c r="I232" s="2" t="s">
        <v>34</v>
      </c>
    </row>
    <row r="233" spans="1:9" ht="14.25" customHeight="1" x14ac:dyDescent="0.45">
      <c r="A233" s="2" t="s">
        <v>66</v>
      </c>
      <c r="B233" s="3">
        <v>19839482</v>
      </c>
      <c r="C233" s="2" t="s">
        <v>31</v>
      </c>
      <c r="D233" t="s">
        <v>32</v>
      </c>
      <c r="E233" t="s">
        <v>173</v>
      </c>
      <c r="F233">
        <v>49.831000000000003</v>
      </c>
      <c r="G233">
        <v>92.308300000000003</v>
      </c>
      <c r="H233" s="12">
        <f t="shared" si="1"/>
        <v>4599.8148973000007</v>
      </c>
      <c r="I233" s="2" t="s">
        <v>34</v>
      </c>
    </row>
    <row r="234" spans="1:9" ht="14.25" customHeight="1" x14ac:dyDescent="0.45">
      <c r="A234" s="2" t="s">
        <v>66</v>
      </c>
      <c r="B234" s="3" t="s">
        <v>163</v>
      </c>
      <c r="C234" t="s">
        <v>164</v>
      </c>
      <c r="D234" t="s">
        <v>165</v>
      </c>
      <c r="E234" t="s">
        <v>174</v>
      </c>
      <c r="F234">
        <v>118.16</v>
      </c>
      <c r="G234">
        <v>29.619499999999999</v>
      </c>
      <c r="H234" s="12">
        <f t="shared" si="1"/>
        <v>3499.8401199999998</v>
      </c>
      <c r="I234" s="2" t="s">
        <v>34</v>
      </c>
    </row>
    <row r="235" spans="1:9" ht="14.25" customHeight="1" x14ac:dyDescent="0.45">
      <c r="A235" s="2" t="s">
        <v>66</v>
      </c>
      <c r="B235" s="3">
        <v>91047038565</v>
      </c>
      <c r="C235" t="s">
        <v>166</v>
      </c>
      <c r="D235" t="s">
        <v>167</v>
      </c>
      <c r="E235" t="s">
        <v>174</v>
      </c>
      <c r="F235">
        <v>44.71</v>
      </c>
      <c r="G235">
        <v>129.71799999999999</v>
      </c>
      <c r="H235" s="12">
        <f t="shared" si="1"/>
        <v>5799.6917799999992</v>
      </c>
      <c r="I235" s="2" t="s">
        <v>34</v>
      </c>
    </row>
    <row r="236" spans="1:9" ht="14.25" customHeight="1" x14ac:dyDescent="0.45">
      <c r="A236" s="2" t="s">
        <v>66</v>
      </c>
      <c r="B236" s="3" t="s">
        <v>183</v>
      </c>
      <c r="C236" t="s">
        <v>182</v>
      </c>
      <c r="D236" t="s">
        <v>75</v>
      </c>
      <c r="E236" t="s">
        <v>174</v>
      </c>
      <c r="F236">
        <v>90.197999999999993</v>
      </c>
      <c r="G236">
        <v>5543.1100999999999</v>
      </c>
      <c r="H236" s="12">
        <f t="shared" si="1"/>
        <v>499977.44479979994</v>
      </c>
      <c r="I236" s="2" t="s">
        <v>34</v>
      </c>
    </row>
    <row r="237" spans="1:9" ht="14.25" customHeight="1" x14ac:dyDescent="0.45">
      <c r="A237" s="2" t="s">
        <v>66</v>
      </c>
      <c r="B237" s="3" t="s">
        <v>168</v>
      </c>
      <c r="C237" t="s">
        <v>181</v>
      </c>
      <c r="D237" t="s">
        <v>170</v>
      </c>
      <c r="E237" t="s">
        <v>174</v>
      </c>
      <c r="F237">
        <v>12.502000000000001</v>
      </c>
      <c r="G237">
        <v>223.96</v>
      </c>
      <c r="H237" s="12">
        <f t="shared" si="1"/>
        <v>2799.9479200000001</v>
      </c>
      <c r="I237" s="2" t="s">
        <v>34</v>
      </c>
    </row>
    <row r="238" spans="1:9" ht="14.25" customHeight="1" x14ac:dyDescent="0.45">
      <c r="A238" s="2" t="s">
        <v>66</v>
      </c>
      <c r="B238" s="3">
        <v>3108075281</v>
      </c>
      <c r="C238" t="s">
        <v>171</v>
      </c>
      <c r="D238" t="s">
        <v>172</v>
      </c>
      <c r="E238" t="s">
        <v>174</v>
      </c>
      <c r="F238">
        <v>79.637</v>
      </c>
      <c r="G238">
        <v>37.668999999999997</v>
      </c>
      <c r="H238" s="12">
        <f t="shared" si="1"/>
        <v>2999.846153</v>
      </c>
      <c r="I238" s="2" t="s">
        <v>34</v>
      </c>
    </row>
    <row r="239" spans="1:9" ht="14.25" customHeight="1" x14ac:dyDescent="0.45">
      <c r="A239" s="2" t="s">
        <v>66</v>
      </c>
      <c r="B239" s="3">
        <v>19839482</v>
      </c>
      <c r="C239" t="s">
        <v>31</v>
      </c>
      <c r="D239" t="s">
        <v>32</v>
      </c>
      <c r="E239" t="s">
        <v>174</v>
      </c>
      <c r="F239">
        <v>49.82</v>
      </c>
      <c r="G239">
        <v>92.326899999999995</v>
      </c>
      <c r="H239" s="12">
        <f t="shared" si="1"/>
        <v>4599.7261579999995</v>
      </c>
      <c r="I239" s="2" t="s">
        <v>34</v>
      </c>
    </row>
    <row r="240" spans="1:9" ht="14.25" customHeight="1" x14ac:dyDescent="0.45">
      <c r="A240" s="2" t="s">
        <v>66</v>
      </c>
      <c r="B240" s="3" t="s">
        <v>163</v>
      </c>
      <c r="C240" t="s">
        <v>164</v>
      </c>
      <c r="D240" t="s">
        <v>165</v>
      </c>
      <c r="E240" t="s">
        <v>175</v>
      </c>
      <c r="F240">
        <v>202.374</v>
      </c>
      <c r="G240">
        <v>29.646599999999999</v>
      </c>
      <c r="H240" s="12">
        <f t="shared" si="1"/>
        <v>5999.7010283999998</v>
      </c>
      <c r="I240" s="2" t="s">
        <v>34</v>
      </c>
    </row>
    <row r="241" spans="1:9" ht="14.25" customHeight="1" x14ac:dyDescent="0.45">
      <c r="A241" s="2" t="s">
        <v>66</v>
      </c>
      <c r="B241" s="3">
        <v>91047038565</v>
      </c>
      <c r="C241" t="s">
        <v>166</v>
      </c>
      <c r="D241" t="s">
        <v>167</v>
      </c>
      <c r="E241" t="s">
        <v>175</v>
      </c>
      <c r="F241">
        <v>67.605999999999995</v>
      </c>
      <c r="G241">
        <v>130.15899999999999</v>
      </c>
      <c r="H241" s="12">
        <f t="shared" si="1"/>
        <v>8799.5293539999984</v>
      </c>
      <c r="I241" s="2" t="s">
        <v>34</v>
      </c>
    </row>
    <row r="242" spans="1:9" ht="14.25" customHeight="1" x14ac:dyDescent="0.45">
      <c r="A242" s="2" t="s">
        <v>66</v>
      </c>
      <c r="B242" s="3" t="s">
        <v>183</v>
      </c>
      <c r="C242" t="s">
        <v>182</v>
      </c>
      <c r="D242" t="s">
        <v>75</v>
      </c>
      <c r="E242" t="s">
        <v>175</v>
      </c>
      <c r="F242">
        <v>297.51</v>
      </c>
      <c r="G242">
        <v>5545.9519</v>
      </c>
      <c r="H242" s="12">
        <f t="shared" si="1"/>
        <v>1649976.149769</v>
      </c>
      <c r="I242" s="2" t="s">
        <v>34</v>
      </c>
    </row>
    <row r="243" spans="1:9" ht="14.25" customHeight="1" x14ac:dyDescent="0.45">
      <c r="A243" s="2" t="s">
        <v>66</v>
      </c>
      <c r="B243" s="3" t="s">
        <v>168</v>
      </c>
      <c r="C243" t="s">
        <v>181</v>
      </c>
      <c r="D243" t="s">
        <v>170</v>
      </c>
      <c r="E243" t="s">
        <v>175</v>
      </c>
      <c r="F243">
        <v>18.706</v>
      </c>
      <c r="G243">
        <v>224.51</v>
      </c>
      <c r="H243" s="12">
        <f t="shared" si="1"/>
        <v>4199.6840599999996</v>
      </c>
      <c r="I243" s="2" t="s">
        <v>34</v>
      </c>
    </row>
    <row r="244" spans="1:9" ht="14.25" customHeight="1" x14ac:dyDescent="0.45">
      <c r="A244" s="2" t="s">
        <v>66</v>
      </c>
      <c r="B244" s="3">
        <v>3108075281</v>
      </c>
      <c r="C244" t="s">
        <v>171</v>
      </c>
      <c r="D244" t="s">
        <v>172</v>
      </c>
      <c r="E244" t="s">
        <v>175</v>
      </c>
      <c r="F244">
        <v>121.142</v>
      </c>
      <c r="G244">
        <v>37.97</v>
      </c>
      <c r="H244" s="12">
        <f t="shared" si="1"/>
        <v>4599.7617399999999</v>
      </c>
      <c r="I244" s="2" t="s">
        <v>34</v>
      </c>
    </row>
    <row r="245" spans="1:9" ht="14.25" customHeight="1" x14ac:dyDescent="0.45">
      <c r="A245" s="2" t="s">
        <v>66</v>
      </c>
      <c r="B245" s="3">
        <v>19839482</v>
      </c>
      <c r="C245" s="2" t="s">
        <v>31</v>
      </c>
      <c r="D245" t="s">
        <v>32</v>
      </c>
      <c r="E245" t="s">
        <v>175</v>
      </c>
      <c r="F245">
        <v>69.25</v>
      </c>
      <c r="G245">
        <v>92.413799999999995</v>
      </c>
      <c r="H245" s="12">
        <f t="shared" si="1"/>
        <v>6399.6556499999997</v>
      </c>
      <c r="I245" s="2" t="s">
        <v>34</v>
      </c>
    </row>
    <row r="246" spans="1:9" ht="14.25" customHeight="1" x14ac:dyDescent="0.45">
      <c r="A246" s="2" t="s">
        <v>66</v>
      </c>
      <c r="B246" s="3" t="s">
        <v>163</v>
      </c>
      <c r="C246" t="s">
        <v>164</v>
      </c>
      <c r="D246" t="s">
        <v>165</v>
      </c>
      <c r="E246" t="s">
        <v>176</v>
      </c>
      <c r="F246">
        <v>202.46700000000001</v>
      </c>
      <c r="G246">
        <v>29.632999999999999</v>
      </c>
      <c r="H246" s="12">
        <f t="shared" si="1"/>
        <v>5999.7046110000001</v>
      </c>
      <c r="I246" s="2" t="s">
        <v>34</v>
      </c>
    </row>
    <row r="247" spans="1:9" ht="14.25" customHeight="1" x14ac:dyDescent="0.45">
      <c r="A247" s="2" t="s">
        <v>66</v>
      </c>
      <c r="B247" s="3">
        <v>91047038565</v>
      </c>
      <c r="C247" t="s">
        <v>166</v>
      </c>
      <c r="D247" t="s">
        <v>167</v>
      </c>
      <c r="E247" t="s">
        <v>176</v>
      </c>
      <c r="F247">
        <v>67.308000000000007</v>
      </c>
      <c r="G247">
        <v>130.73500000000001</v>
      </c>
      <c r="H247" s="12">
        <f t="shared" si="1"/>
        <v>8799.5113800000017</v>
      </c>
      <c r="I247" s="2" t="s">
        <v>34</v>
      </c>
    </row>
    <row r="248" spans="1:9" ht="14.25" customHeight="1" x14ac:dyDescent="0.45">
      <c r="A248" s="2" t="s">
        <v>66</v>
      </c>
      <c r="B248" s="3" t="s">
        <v>168</v>
      </c>
      <c r="C248" t="s">
        <v>169</v>
      </c>
      <c r="D248" t="s">
        <v>170</v>
      </c>
      <c r="E248" t="s">
        <v>176</v>
      </c>
      <c r="F248">
        <v>18.725999999999999</v>
      </c>
      <c r="G248">
        <v>224.27</v>
      </c>
      <c r="H248" s="12">
        <f t="shared" si="1"/>
        <v>4199.6800199999998</v>
      </c>
      <c r="I248" s="2" t="s">
        <v>34</v>
      </c>
    </row>
    <row r="249" spans="1:9" ht="14.25" customHeight="1" x14ac:dyDescent="0.45">
      <c r="A249" s="2" t="s">
        <v>66</v>
      </c>
      <c r="B249" s="3">
        <v>3108075281</v>
      </c>
      <c r="C249" t="s">
        <v>171</v>
      </c>
      <c r="D249" t="s">
        <v>172</v>
      </c>
      <c r="E249" t="s">
        <v>176</v>
      </c>
      <c r="F249">
        <v>120.78100000000001</v>
      </c>
      <c r="G249">
        <v>38.083500000000001</v>
      </c>
      <c r="H249" s="12">
        <f t="shared" si="1"/>
        <v>4599.7632135000003</v>
      </c>
      <c r="I249" s="2" t="s">
        <v>34</v>
      </c>
    </row>
    <row r="250" spans="1:9" ht="14.25" customHeight="1" x14ac:dyDescent="0.45">
      <c r="A250" s="2" t="s">
        <v>66</v>
      </c>
      <c r="B250" s="3">
        <v>19839482</v>
      </c>
      <c r="C250" t="s">
        <v>31</v>
      </c>
      <c r="D250" t="s">
        <v>32</v>
      </c>
      <c r="E250" t="s">
        <v>176</v>
      </c>
      <c r="F250">
        <v>69.715000000000003</v>
      </c>
      <c r="G250">
        <v>91.7971</v>
      </c>
      <c r="H250" s="12">
        <f t="shared" si="1"/>
        <v>6399.6348265000006</v>
      </c>
      <c r="I250" s="2" t="s">
        <v>34</v>
      </c>
    </row>
    <row r="251" spans="1:9" ht="14.25" customHeight="1" x14ac:dyDescent="0.45">
      <c r="A251" s="2" t="s">
        <v>66</v>
      </c>
      <c r="B251" s="3" t="s">
        <v>163</v>
      </c>
      <c r="C251" t="s">
        <v>164</v>
      </c>
      <c r="D251" t="s">
        <v>165</v>
      </c>
      <c r="E251" t="s">
        <v>177</v>
      </c>
      <c r="F251">
        <v>203.05199999999999</v>
      </c>
      <c r="G251">
        <v>29.547599999999999</v>
      </c>
      <c r="H251" s="12">
        <f t="shared" si="1"/>
        <v>5999.6992751999996</v>
      </c>
      <c r="I251" s="2" t="s">
        <v>34</v>
      </c>
    </row>
    <row r="252" spans="1:9" ht="14.25" customHeight="1" x14ac:dyDescent="0.45">
      <c r="A252" s="2" t="s">
        <v>66</v>
      </c>
      <c r="B252" s="3">
        <v>91047038565</v>
      </c>
      <c r="C252" t="s">
        <v>166</v>
      </c>
      <c r="D252" t="s">
        <v>167</v>
      </c>
      <c r="E252" t="s">
        <v>177</v>
      </c>
      <c r="F252">
        <v>67.524000000000001</v>
      </c>
      <c r="G252">
        <v>130.31700000000001</v>
      </c>
      <c r="H252" s="12">
        <f t="shared" si="1"/>
        <v>8799.5251079999998</v>
      </c>
      <c r="I252" s="2" t="s">
        <v>34</v>
      </c>
    </row>
    <row r="253" spans="1:9" ht="14.25" customHeight="1" x14ac:dyDescent="0.45">
      <c r="A253" s="2" t="s">
        <v>66</v>
      </c>
      <c r="B253" s="3" t="s">
        <v>168</v>
      </c>
      <c r="C253" t="s">
        <v>169</v>
      </c>
      <c r="D253" t="s">
        <v>170</v>
      </c>
      <c r="E253" t="s">
        <v>177</v>
      </c>
      <c r="F253">
        <v>18.803000000000001</v>
      </c>
      <c r="G253">
        <v>223.36</v>
      </c>
      <c r="H253" s="12">
        <f t="shared" si="1"/>
        <v>4199.8380800000004</v>
      </c>
      <c r="I253" s="2" t="s">
        <v>34</v>
      </c>
    </row>
    <row r="254" spans="1:9" ht="14.25" customHeight="1" x14ac:dyDescent="0.45">
      <c r="A254" s="2" t="s">
        <v>66</v>
      </c>
      <c r="B254" s="3">
        <v>3108075281</v>
      </c>
      <c r="C254" t="s">
        <v>171</v>
      </c>
      <c r="D254" t="s">
        <v>172</v>
      </c>
      <c r="E254" t="s">
        <v>177</v>
      </c>
      <c r="F254">
        <v>120.83199999999999</v>
      </c>
      <c r="G254">
        <v>38.067500000000003</v>
      </c>
      <c r="H254" s="12">
        <f t="shared" si="1"/>
        <v>4599.7721600000004</v>
      </c>
      <c r="I254" s="2" t="s">
        <v>34</v>
      </c>
    </row>
    <row r="255" spans="1:9" ht="14.25" customHeight="1" x14ac:dyDescent="0.45">
      <c r="A255" s="2" t="s">
        <v>66</v>
      </c>
      <c r="B255" s="3">
        <v>19839482</v>
      </c>
      <c r="C255" t="s">
        <v>31</v>
      </c>
      <c r="D255" t="s">
        <v>32</v>
      </c>
      <c r="E255" t="s">
        <v>177</v>
      </c>
      <c r="F255">
        <v>69.802000000000007</v>
      </c>
      <c r="G255">
        <v>91.683400000000006</v>
      </c>
      <c r="H255" s="12">
        <f t="shared" si="1"/>
        <v>6399.6846868000011</v>
      </c>
      <c r="I255" s="2" t="s">
        <v>34</v>
      </c>
    </row>
    <row r="256" spans="1:9" ht="14.25" customHeight="1" x14ac:dyDescent="0.45">
      <c r="A256" s="2" t="s">
        <v>66</v>
      </c>
      <c r="B256" s="3" t="s">
        <v>163</v>
      </c>
      <c r="C256" t="s">
        <v>164</v>
      </c>
      <c r="D256" t="s">
        <v>165</v>
      </c>
      <c r="E256" t="s">
        <v>178</v>
      </c>
      <c r="F256">
        <v>203.08799999999999</v>
      </c>
      <c r="G256">
        <v>29.542400000000001</v>
      </c>
      <c r="H256" s="12">
        <f t="shared" si="1"/>
        <v>5999.7069312000003</v>
      </c>
      <c r="I256" s="2" t="s">
        <v>34</v>
      </c>
    </row>
    <row r="257" spans="1:9" ht="14.25" customHeight="1" x14ac:dyDescent="0.45">
      <c r="A257" s="2" t="s">
        <v>66</v>
      </c>
      <c r="B257" s="3" t="s">
        <v>163</v>
      </c>
      <c r="C257" t="s">
        <v>164</v>
      </c>
      <c r="D257" t="s">
        <v>165</v>
      </c>
      <c r="E257" t="s">
        <v>178</v>
      </c>
      <c r="F257">
        <v>203.08799999999999</v>
      </c>
      <c r="G257">
        <v>29.542400000000001</v>
      </c>
      <c r="H257" s="12">
        <f t="shared" si="1"/>
        <v>5999.7069312000003</v>
      </c>
      <c r="I257" s="2" t="s">
        <v>34</v>
      </c>
    </row>
    <row r="258" spans="1:9" ht="14.25" customHeight="1" x14ac:dyDescent="0.45">
      <c r="A258" s="2" t="s">
        <v>66</v>
      </c>
      <c r="B258" s="3">
        <v>91047038565</v>
      </c>
      <c r="C258" t="s">
        <v>166</v>
      </c>
      <c r="D258" t="s">
        <v>167</v>
      </c>
      <c r="E258" t="s">
        <v>178</v>
      </c>
      <c r="F258">
        <v>67.197999999999993</v>
      </c>
      <c r="G258">
        <v>130.94999999999999</v>
      </c>
      <c r="H258" s="12">
        <f t="shared" si="1"/>
        <v>8799.5780999999988</v>
      </c>
      <c r="I258" s="2" t="s">
        <v>34</v>
      </c>
    </row>
    <row r="259" spans="1:9" ht="14.25" customHeight="1" x14ac:dyDescent="0.45">
      <c r="A259" s="2" t="s">
        <v>66</v>
      </c>
      <c r="B259" s="3">
        <v>91047038565</v>
      </c>
      <c r="C259" t="s">
        <v>166</v>
      </c>
      <c r="D259" t="s">
        <v>167</v>
      </c>
      <c r="E259" t="s">
        <v>178</v>
      </c>
      <c r="F259">
        <v>67.197999999999993</v>
      </c>
      <c r="G259">
        <v>130.94999999999999</v>
      </c>
      <c r="H259" s="12">
        <f t="shared" si="1"/>
        <v>8799.5780999999988</v>
      </c>
      <c r="I259" s="2" t="s">
        <v>34</v>
      </c>
    </row>
    <row r="260" spans="1:9" ht="14.25" customHeight="1" x14ac:dyDescent="0.45">
      <c r="A260" s="2" t="s">
        <v>66</v>
      </c>
      <c r="B260" s="3" t="s">
        <v>168</v>
      </c>
      <c r="C260" t="s">
        <v>169</v>
      </c>
      <c r="D260" t="s">
        <v>170</v>
      </c>
      <c r="E260" t="s">
        <v>178</v>
      </c>
      <c r="F260">
        <v>18.745999999999999</v>
      </c>
      <c r="G260">
        <v>224.04</v>
      </c>
      <c r="H260" s="12">
        <f t="shared" si="1"/>
        <v>4199.8538399999998</v>
      </c>
      <c r="I260" s="2" t="s">
        <v>34</v>
      </c>
    </row>
    <row r="261" spans="1:9" ht="14.25" customHeight="1" x14ac:dyDescent="0.45">
      <c r="A261" s="2" t="s">
        <v>66</v>
      </c>
      <c r="B261" s="3" t="s">
        <v>168</v>
      </c>
      <c r="C261" t="s">
        <v>169</v>
      </c>
      <c r="D261" t="s">
        <v>170</v>
      </c>
      <c r="E261" t="s">
        <v>178</v>
      </c>
      <c r="F261">
        <v>18.745999999999999</v>
      </c>
      <c r="G261">
        <v>224.04</v>
      </c>
      <c r="H261" s="12">
        <f t="shared" si="1"/>
        <v>4199.8538399999998</v>
      </c>
      <c r="I261" s="2" t="s">
        <v>34</v>
      </c>
    </row>
    <row r="262" spans="1:9" ht="14.25" customHeight="1" x14ac:dyDescent="0.45">
      <c r="A262" s="2" t="s">
        <v>66</v>
      </c>
      <c r="B262" s="3">
        <v>3108075281</v>
      </c>
      <c r="C262" t="s">
        <v>171</v>
      </c>
      <c r="D262" t="s">
        <v>172</v>
      </c>
      <c r="E262" t="s">
        <v>178</v>
      </c>
      <c r="F262">
        <v>120.313</v>
      </c>
      <c r="G262">
        <v>38.2316</v>
      </c>
      <c r="H262" s="12">
        <f t="shared" si="1"/>
        <v>4599.7584907999999</v>
      </c>
      <c r="I262" s="2" t="s">
        <v>34</v>
      </c>
    </row>
    <row r="263" spans="1:9" ht="14.25" customHeight="1" x14ac:dyDescent="0.45">
      <c r="A263" s="2" t="s">
        <v>66</v>
      </c>
      <c r="B263" s="3">
        <v>3108075281</v>
      </c>
      <c r="C263" t="s">
        <v>171</v>
      </c>
      <c r="D263" t="s">
        <v>172</v>
      </c>
      <c r="E263" t="s">
        <v>178</v>
      </c>
      <c r="F263">
        <v>120.313</v>
      </c>
      <c r="G263">
        <v>38.2316</v>
      </c>
      <c r="H263" s="12">
        <f t="shared" si="1"/>
        <v>4599.7584907999999</v>
      </c>
      <c r="I263" s="2" t="s">
        <v>34</v>
      </c>
    </row>
    <row r="264" spans="1:9" ht="14.25" customHeight="1" x14ac:dyDescent="0.45">
      <c r="A264" s="2" t="s">
        <v>66</v>
      </c>
      <c r="B264" s="3">
        <v>19839482</v>
      </c>
      <c r="C264" t="s">
        <v>31</v>
      </c>
      <c r="D264" t="s">
        <v>32</v>
      </c>
      <c r="E264" t="s">
        <v>178</v>
      </c>
      <c r="F264">
        <v>70.284000000000006</v>
      </c>
      <c r="G264">
        <v>91.054000000000002</v>
      </c>
      <c r="H264" s="12">
        <f t="shared" si="1"/>
        <v>6399.6393360000011</v>
      </c>
      <c r="I264" s="2" t="s">
        <v>34</v>
      </c>
    </row>
    <row r="265" spans="1:9" ht="14.25" customHeight="1" x14ac:dyDescent="0.45">
      <c r="A265" s="2" t="s">
        <v>66</v>
      </c>
      <c r="B265" s="3">
        <v>19839482</v>
      </c>
      <c r="C265" t="s">
        <v>31</v>
      </c>
      <c r="D265" t="s">
        <v>32</v>
      </c>
      <c r="E265" t="s">
        <v>178</v>
      </c>
      <c r="F265">
        <v>70.284000000000006</v>
      </c>
      <c r="G265">
        <v>91.054000000000002</v>
      </c>
      <c r="H265" s="12">
        <f t="shared" si="1"/>
        <v>6399.6393360000011</v>
      </c>
      <c r="I265" s="2" t="s">
        <v>34</v>
      </c>
    </row>
    <row r="266" spans="1:9" ht="14.25" customHeight="1" x14ac:dyDescent="0.45">
      <c r="A266" s="2" t="s">
        <v>66</v>
      </c>
      <c r="B266" s="3" t="s">
        <v>163</v>
      </c>
      <c r="C266" t="s">
        <v>164</v>
      </c>
      <c r="D266" t="s">
        <v>165</v>
      </c>
      <c r="E266" t="s">
        <v>179</v>
      </c>
      <c r="F266">
        <v>203.54</v>
      </c>
      <c r="G266">
        <v>29.476800000000001</v>
      </c>
      <c r="H266" s="12">
        <f t="shared" si="1"/>
        <v>5999.707872</v>
      </c>
      <c r="I266" s="2" t="s">
        <v>34</v>
      </c>
    </row>
    <row r="267" spans="1:9" ht="14.25" customHeight="1" x14ac:dyDescent="0.45">
      <c r="A267" s="2" t="s">
        <v>66</v>
      </c>
      <c r="B267" s="3">
        <v>91047038565</v>
      </c>
      <c r="C267" t="s">
        <v>166</v>
      </c>
      <c r="D267" t="s">
        <v>167</v>
      </c>
      <c r="E267" t="s">
        <v>179</v>
      </c>
      <c r="F267">
        <v>67.320999999999998</v>
      </c>
      <c r="G267">
        <v>130.71100000000001</v>
      </c>
      <c r="H267" s="12">
        <f t="shared" si="1"/>
        <v>8799.5952310000011</v>
      </c>
      <c r="I267" s="2" t="s">
        <v>34</v>
      </c>
    </row>
    <row r="268" spans="1:9" ht="14.25" customHeight="1" x14ac:dyDescent="0.45">
      <c r="A268" s="2" t="s">
        <v>66</v>
      </c>
      <c r="B268" s="3" t="s">
        <v>168</v>
      </c>
      <c r="C268" t="s">
        <v>169</v>
      </c>
      <c r="D268" t="s">
        <v>170</v>
      </c>
      <c r="E268" t="s">
        <v>179</v>
      </c>
      <c r="F268">
        <v>18.841999999999999</v>
      </c>
      <c r="G268">
        <v>222.89</v>
      </c>
      <c r="H268" s="12">
        <f t="shared" si="1"/>
        <v>4199.6933799999997</v>
      </c>
      <c r="I268" s="2" t="s">
        <v>34</v>
      </c>
    </row>
    <row r="269" spans="1:9" ht="14.25" customHeight="1" x14ac:dyDescent="0.45">
      <c r="A269" s="2" t="s">
        <v>66</v>
      </c>
      <c r="B269" s="3">
        <v>3108075281</v>
      </c>
      <c r="C269" t="s">
        <v>171</v>
      </c>
      <c r="D269" t="s">
        <v>172</v>
      </c>
      <c r="E269" t="s">
        <v>179</v>
      </c>
      <c r="F269">
        <v>119.471</v>
      </c>
      <c r="G269">
        <v>38.500999999999998</v>
      </c>
      <c r="H269" s="12">
        <f t="shared" si="1"/>
        <v>4599.7529709999999</v>
      </c>
      <c r="I269" s="2" t="s">
        <v>34</v>
      </c>
    </row>
    <row r="270" spans="1:9" ht="14.25" customHeight="1" x14ac:dyDescent="0.45">
      <c r="A270" s="2" t="s">
        <v>66</v>
      </c>
      <c r="B270" s="3">
        <v>19839482</v>
      </c>
      <c r="C270" t="s">
        <v>31</v>
      </c>
      <c r="D270" t="s">
        <v>32</v>
      </c>
      <c r="E270" t="s">
        <v>179</v>
      </c>
      <c r="F270">
        <v>70.715999999999994</v>
      </c>
      <c r="G270">
        <v>90.498199999999997</v>
      </c>
      <c r="H270" s="12">
        <f t="shared" si="1"/>
        <v>6399.6707111999995</v>
      </c>
      <c r="I270" s="2" t="s">
        <v>34</v>
      </c>
    </row>
    <row r="271" spans="1:9" ht="14.25" customHeight="1" x14ac:dyDescent="0.45">
      <c r="A271" s="2" t="s">
        <v>66</v>
      </c>
      <c r="B271" s="3" t="s">
        <v>163</v>
      </c>
      <c r="C271" t="s">
        <v>164</v>
      </c>
      <c r="D271" t="s">
        <v>165</v>
      </c>
      <c r="E271" t="s">
        <v>180</v>
      </c>
      <c r="F271">
        <v>852.76599999999996</v>
      </c>
      <c r="G271">
        <v>29.314900000000002</v>
      </c>
      <c r="H271" s="12">
        <f t="shared" si="1"/>
        <v>24998.7500134</v>
      </c>
      <c r="I271" s="2" t="s">
        <v>34</v>
      </c>
    </row>
    <row r="272" spans="1:9" ht="14.25" customHeight="1" x14ac:dyDescent="0.45">
      <c r="A272" s="2" t="s">
        <v>66</v>
      </c>
      <c r="B272" s="3" t="s">
        <v>163</v>
      </c>
      <c r="C272" t="s">
        <v>164</v>
      </c>
      <c r="D272" t="s">
        <v>165</v>
      </c>
      <c r="E272" t="s">
        <v>180</v>
      </c>
      <c r="F272">
        <v>204.66399999999999</v>
      </c>
      <c r="G272">
        <v>29.314900000000002</v>
      </c>
      <c r="H272" s="12">
        <f t="shared" si="1"/>
        <v>5999.7046935999997</v>
      </c>
      <c r="I272" s="2" t="s">
        <v>34</v>
      </c>
    </row>
    <row r="273" spans="1:9" ht="14.25" customHeight="1" x14ac:dyDescent="0.45">
      <c r="A273" s="2" t="s">
        <v>66</v>
      </c>
      <c r="B273" s="3">
        <v>91047038565</v>
      </c>
      <c r="C273" t="s">
        <v>166</v>
      </c>
      <c r="D273" t="s">
        <v>167</v>
      </c>
      <c r="E273" t="s">
        <v>180</v>
      </c>
      <c r="F273">
        <v>191.93799999999999</v>
      </c>
      <c r="G273">
        <v>130.244</v>
      </c>
      <c r="H273" s="12">
        <f t="shared" si="1"/>
        <v>24998.772871999998</v>
      </c>
      <c r="I273" s="2" t="s">
        <v>34</v>
      </c>
    </row>
    <row r="274" spans="1:9" ht="14.25" customHeight="1" x14ac:dyDescent="0.45">
      <c r="A274" s="2" t="s">
        <v>66</v>
      </c>
      <c r="B274" s="3">
        <v>91047038565</v>
      </c>
      <c r="C274" t="s">
        <v>166</v>
      </c>
      <c r="D274" t="s">
        <v>167</v>
      </c>
      <c r="E274" t="s">
        <v>180</v>
      </c>
      <c r="F274">
        <v>67.561999999999998</v>
      </c>
      <c r="G274">
        <v>130.244</v>
      </c>
      <c r="H274" s="12">
        <f t="shared" si="1"/>
        <v>8799.5451279999997</v>
      </c>
      <c r="I274" s="2" t="s">
        <v>34</v>
      </c>
    </row>
    <row r="275" spans="1:9" ht="14.25" customHeight="1" x14ac:dyDescent="0.45">
      <c r="A275" s="2" t="s">
        <v>66</v>
      </c>
      <c r="B275" s="3" t="s">
        <v>168</v>
      </c>
      <c r="C275" t="s">
        <v>169</v>
      </c>
      <c r="D275" t="s">
        <v>170</v>
      </c>
      <c r="E275" t="s">
        <v>180</v>
      </c>
      <c r="F275">
        <v>18.978999999999999</v>
      </c>
      <c r="G275">
        <v>221.29</v>
      </c>
      <c r="H275" s="12">
        <f t="shared" si="1"/>
        <v>4199.8629099999998</v>
      </c>
      <c r="I275" s="2" t="s">
        <v>34</v>
      </c>
    </row>
    <row r="276" spans="1:9" ht="14.25" customHeight="1" x14ac:dyDescent="0.45">
      <c r="A276" s="2" t="s">
        <v>66</v>
      </c>
      <c r="B276" s="3" t="s">
        <v>168</v>
      </c>
      <c r="C276" t="s">
        <v>181</v>
      </c>
      <c r="D276" t="s">
        <v>170</v>
      </c>
      <c r="E276" t="s">
        <v>180</v>
      </c>
      <c r="F276">
        <v>112.968</v>
      </c>
      <c r="G276">
        <v>221.29</v>
      </c>
      <c r="H276" s="12">
        <f t="shared" si="1"/>
        <v>24998.688719999998</v>
      </c>
      <c r="I276" s="2" t="s">
        <v>34</v>
      </c>
    </row>
    <row r="277" spans="1:9" ht="14.25" customHeight="1" x14ac:dyDescent="0.45">
      <c r="A277" s="2" t="s">
        <v>66</v>
      </c>
      <c r="B277" s="3">
        <v>3108075281</v>
      </c>
      <c r="C277" t="s">
        <v>171</v>
      </c>
      <c r="D277" t="s">
        <v>172</v>
      </c>
      <c r="E277" t="s">
        <v>180</v>
      </c>
      <c r="F277">
        <v>120.47199999999999</v>
      </c>
      <c r="G277">
        <v>38.1813</v>
      </c>
      <c r="H277" s="12">
        <f t="shared" si="1"/>
        <v>4599.7775735999994</v>
      </c>
      <c r="I277" s="2" t="s">
        <v>34</v>
      </c>
    </row>
    <row r="278" spans="1:9" ht="14.25" customHeight="1" x14ac:dyDescent="0.45">
      <c r="A278" s="2" t="s">
        <v>66</v>
      </c>
      <c r="B278" s="3">
        <v>3108075281</v>
      </c>
      <c r="C278" t="s">
        <v>171</v>
      </c>
      <c r="D278" t="s">
        <v>172</v>
      </c>
      <c r="E278" t="s">
        <v>180</v>
      </c>
      <c r="F278">
        <v>654.73800000000006</v>
      </c>
      <c r="G278">
        <v>38.1813</v>
      </c>
      <c r="H278" s="12">
        <f t="shared" si="1"/>
        <v>24998.747999400002</v>
      </c>
      <c r="I278" s="2" t="s">
        <v>34</v>
      </c>
    </row>
    <row r="279" spans="1:9" ht="14.25" customHeight="1" x14ac:dyDescent="0.45">
      <c r="A279" s="2" t="s">
        <v>66</v>
      </c>
      <c r="B279" s="3">
        <v>19839482</v>
      </c>
      <c r="C279" t="s">
        <v>31</v>
      </c>
      <c r="D279" t="s">
        <v>32</v>
      </c>
      <c r="E279" t="s">
        <v>180</v>
      </c>
      <c r="F279">
        <v>70.790999999999997</v>
      </c>
      <c r="G279">
        <v>90.402799999999999</v>
      </c>
      <c r="H279" s="12">
        <f t="shared" si="1"/>
        <v>6399.7046147999999</v>
      </c>
      <c r="I279" s="2" t="s">
        <v>34</v>
      </c>
    </row>
    <row r="280" spans="1:9" ht="14.25" customHeight="1" x14ac:dyDescent="0.45">
      <c r="A280" s="2" t="s">
        <v>26</v>
      </c>
      <c r="B280" s="8" t="s">
        <v>37</v>
      </c>
      <c r="C280" t="s">
        <v>38</v>
      </c>
      <c r="D280" t="s">
        <v>39</v>
      </c>
      <c r="E280" t="s">
        <v>187</v>
      </c>
      <c r="F280">
        <v>113.42</v>
      </c>
      <c r="G280">
        <v>220.40899999999999</v>
      </c>
      <c r="H280" s="12">
        <f t="shared" si="1"/>
        <v>24998.788779999999</v>
      </c>
      <c r="I280" s="2" t="s">
        <v>34</v>
      </c>
    </row>
    <row r="281" spans="1:9" ht="14.25" customHeight="1" x14ac:dyDescent="0.45">
      <c r="A281" s="2" t="s">
        <v>26</v>
      </c>
      <c r="B281" s="8">
        <v>31043145655</v>
      </c>
      <c r="C281" t="s">
        <v>45</v>
      </c>
      <c r="D281" t="s">
        <v>46</v>
      </c>
      <c r="E281" t="s">
        <v>187</v>
      </c>
      <c r="F281">
        <v>306.98399999999998</v>
      </c>
      <c r="G281">
        <v>48.86</v>
      </c>
      <c r="H281" s="12">
        <f t="shared" ref="H281:H297" si="2">G281*F281</f>
        <v>14999.238239999999</v>
      </c>
      <c r="I281" s="2" t="s">
        <v>34</v>
      </c>
    </row>
    <row r="282" spans="1:9" ht="14.25" customHeight="1" x14ac:dyDescent="0.45">
      <c r="A282" s="2" t="s">
        <v>26</v>
      </c>
      <c r="B282" s="8">
        <v>19479811</v>
      </c>
      <c r="C282" t="s">
        <v>81</v>
      </c>
      <c r="D282" t="s">
        <v>82</v>
      </c>
      <c r="E282" t="s">
        <v>187</v>
      </c>
      <c r="F282">
        <v>9.7159999999999993</v>
      </c>
      <c r="G282">
        <v>1543.7112999999999</v>
      </c>
      <c r="H282" s="12">
        <f t="shared" si="2"/>
        <v>14998.698990799998</v>
      </c>
      <c r="I282" s="2" t="s">
        <v>34</v>
      </c>
    </row>
    <row r="283" spans="1:9" ht="14.25" customHeight="1" x14ac:dyDescent="0.45">
      <c r="A283" s="2" t="s">
        <v>26</v>
      </c>
      <c r="B283" s="8" t="s">
        <v>51</v>
      </c>
      <c r="C283" t="s">
        <v>52</v>
      </c>
      <c r="D283" t="s">
        <v>54</v>
      </c>
      <c r="E283" t="s">
        <v>187</v>
      </c>
      <c r="F283">
        <v>578.60799999999995</v>
      </c>
      <c r="G283">
        <v>25.922999999999998</v>
      </c>
      <c r="H283" s="12">
        <f t="shared" si="2"/>
        <v>14999.255183999998</v>
      </c>
      <c r="I283" s="2" t="s">
        <v>34</v>
      </c>
    </row>
    <row r="284" spans="1:9" ht="14.25" customHeight="1" x14ac:dyDescent="0.45">
      <c r="A284" s="2" t="s">
        <v>26</v>
      </c>
      <c r="B284" s="3" t="s">
        <v>37</v>
      </c>
      <c r="C284" t="s">
        <v>185</v>
      </c>
      <c r="D284" t="s">
        <v>188</v>
      </c>
      <c r="E284" t="s">
        <v>189</v>
      </c>
      <c r="F284">
        <v>110.97</v>
      </c>
      <c r="G284">
        <v>45.055</v>
      </c>
      <c r="H284" s="12">
        <f t="shared" si="2"/>
        <v>4999.75335</v>
      </c>
      <c r="I284" s="2" t="s">
        <v>34</v>
      </c>
    </row>
    <row r="285" spans="1:9" ht="14.25" customHeight="1" x14ac:dyDescent="0.45">
      <c r="A285" s="2" t="s">
        <v>26</v>
      </c>
      <c r="B285" s="3" t="s">
        <v>37</v>
      </c>
      <c r="C285" t="s">
        <v>186</v>
      </c>
      <c r="D285" t="s">
        <v>188</v>
      </c>
      <c r="E285" t="s">
        <v>174</v>
      </c>
      <c r="F285">
        <v>107.47799999999999</v>
      </c>
      <c r="G285">
        <v>46.518700000000003</v>
      </c>
      <c r="H285" s="12">
        <f t="shared" si="2"/>
        <v>4999.7368385999998</v>
      </c>
      <c r="I285" s="2" t="s">
        <v>34</v>
      </c>
    </row>
    <row r="286" spans="1:9" ht="14.25" customHeight="1" x14ac:dyDescent="0.45">
      <c r="A286" s="2" t="s">
        <v>26</v>
      </c>
      <c r="B286" s="8" t="s">
        <v>37</v>
      </c>
      <c r="C286" t="s">
        <v>182</v>
      </c>
      <c r="D286" t="s">
        <v>75</v>
      </c>
      <c r="E286" t="s">
        <v>175</v>
      </c>
      <c r="F286">
        <v>0.55000000000000004</v>
      </c>
      <c r="G286">
        <v>5547.0811000000003</v>
      </c>
      <c r="H286" s="12">
        <f t="shared" si="2"/>
        <v>3050.8946050000004</v>
      </c>
      <c r="I286" s="2" t="s">
        <v>34</v>
      </c>
    </row>
    <row r="287" spans="1:9" ht="14.25" customHeight="1" x14ac:dyDescent="0.45">
      <c r="A287" s="2" t="s">
        <v>26</v>
      </c>
      <c r="B287" s="3" t="s">
        <v>37</v>
      </c>
      <c r="C287" t="s">
        <v>186</v>
      </c>
      <c r="D287" t="s">
        <v>188</v>
      </c>
      <c r="E287" t="s">
        <v>190</v>
      </c>
      <c r="F287">
        <v>63.36</v>
      </c>
      <c r="G287">
        <v>47.346299999999999</v>
      </c>
      <c r="H287" s="12">
        <f t="shared" si="2"/>
        <v>2999.8615679999998</v>
      </c>
      <c r="I287" s="2" t="s">
        <v>34</v>
      </c>
    </row>
    <row r="288" spans="1:9" ht="14.25" customHeight="1" x14ac:dyDescent="0.45">
      <c r="A288" s="2" t="s">
        <v>26</v>
      </c>
      <c r="B288" s="8">
        <v>19479811</v>
      </c>
      <c r="C288" t="s">
        <v>81</v>
      </c>
      <c r="D288" t="s">
        <v>82</v>
      </c>
      <c r="E288" t="s">
        <v>191</v>
      </c>
      <c r="F288">
        <v>3.2</v>
      </c>
      <c r="G288">
        <v>1562.4192</v>
      </c>
      <c r="H288" s="12">
        <f t="shared" si="2"/>
        <v>4999.7414400000007</v>
      </c>
      <c r="I288" s="2" t="s">
        <v>34</v>
      </c>
    </row>
    <row r="289" spans="1:9" ht="14.25" customHeight="1" x14ac:dyDescent="0.45">
      <c r="A289" s="2" t="s">
        <v>26</v>
      </c>
      <c r="B289" s="8">
        <v>19479811</v>
      </c>
      <c r="C289" t="s">
        <v>81</v>
      </c>
      <c r="D289" t="s">
        <v>82</v>
      </c>
      <c r="E289" t="s">
        <v>176</v>
      </c>
      <c r="F289">
        <v>3.2</v>
      </c>
      <c r="G289">
        <v>1562.7472</v>
      </c>
      <c r="H289" s="12">
        <f t="shared" si="2"/>
        <v>5000.7910400000001</v>
      </c>
      <c r="I289" s="2" t="s">
        <v>34</v>
      </c>
    </row>
    <row r="290" spans="1:9" ht="14.25" customHeight="1" x14ac:dyDescent="0.45">
      <c r="A290" s="2" t="s">
        <v>26</v>
      </c>
      <c r="B290" s="3" t="s">
        <v>37</v>
      </c>
      <c r="C290" t="s">
        <v>186</v>
      </c>
      <c r="D290" t="s">
        <v>188</v>
      </c>
      <c r="E290" t="s">
        <v>177</v>
      </c>
      <c r="F290">
        <v>105.92</v>
      </c>
      <c r="G290">
        <v>47.203099999999999</v>
      </c>
      <c r="H290" s="12">
        <f t="shared" si="2"/>
        <v>4999.7523520000004</v>
      </c>
      <c r="I290" s="2" t="s">
        <v>34</v>
      </c>
    </row>
    <row r="291" spans="1:9" ht="14.25" customHeight="1" x14ac:dyDescent="0.45">
      <c r="A291" s="2" t="s">
        <v>26</v>
      </c>
      <c r="B291" s="8">
        <v>19479811</v>
      </c>
      <c r="C291" t="s">
        <v>81</v>
      </c>
      <c r="D291" t="s">
        <v>82</v>
      </c>
      <c r="E291" t="s">
        <v>177</v>
      </c>
      <c r="F291">
        <v>3.1989999999999998</v>
      </c>
      <c r="G291">
        <v>1563.5156999999999</v>
      </c>
      <c r="H291" s="12">
        <f t="shared" si="2"/>
        <v>5001.6867242999997</v>
      </c>
      <c r="I291" s="2" t="s">
        <v>34</v>
      </c>
    </row>
    <row r="292" spans="1:9" ht="14.25" customHeight="1" x14ac:dyDescent="0.45">
      <c r="A292" s="2" t="s">
        <v>26</v>
      </c>
      <c r="B292" s="8">
        <v>19479811</v>
      </c>
      <c r="C292" t="s">
        <v>81</v>
      </c>
      <c r="D292" t="s">
        <v>82</v>
      </c>
      <c r="E292" t="s">
        <v>178</v>
      </c>
      <c r="F292">
        <v>3.1970000000000001</v>
      </c>
      <c r="G292">
        <v>1563.7545</v>
      </c>
      <c r="H292" s="12">
        <f t="shared" si="2"/>
        <v>4999.3231365000001</v>
      </c>
      <c r="I292" s="2" t="s">
        <v>34</v>
      </c>
    </row>
    <row r="293" spans="1:9" ht="14.25" customHeight="1" x14ac:dyDescent="0.45">
      <c r="A293" s="2" t="s">
        <v>26</v>
      </c>
      <c r="B293" s="8">
        <v>19479811</v>
      </c>
      <c r="C293" t="s">
        <v>81</v>
      </c>
      <c r="D293" t="s">
        <v>82</v>
      </c>
      <c r="E293" t="s">
        <v>179</v>
      </c>
      <c r="F293">
        <v>3.1970000000000001</v>
      </c>
      <c r="G293">
        <v>1563.9869000000001</v>
      </c>
      <c r="H293" s="12">
        <f t="shared" si="2"/>
        <v>5000.0661193000005</v>
      </c>
      <c r="I293" s="2" t="s">
        <v>34</v>
      </c>
    </row>
    <row r="294" spans="1:9" ht="14.25" customHeight="1" x14ac:dyDescent="0.45">
      <c r="A294" s="2" t="s">
        <v>26</v>
      </c>
      <c r="B294" s="3" t="s">
        <v>37</v>
      </c>
      <c r="C294" t="s">
        <v>186</v>
      </c>
      <c r="D294" t="s">
        <v>188</v>
      </c>
      <c r="E294" t="s">
        <v>180</v>
      </c>
      <c r="F294">
        <v>105.32</v>
      </c>
      <c r="G294">
        <v>47.471800000000002</v>
      </c>
      <c r="H294" s="12">
        <f t="shared" si="2"/>
        <v>4999.7299759999996</v>
      </c>
      <c r="I294" s="2" t="s">
        <v>34</v>
      </c>
    </row>
    <row r="295" spans="1:9" ht="14.25" customHeight="1" x14ac:dyDescent="0.45">
      <c r="A295" s="2" t="s">
        <v>26</v>
      </c>
      <c r="B295" s="3" t="s">
        <v>37</v>
      </c>
      <c r="C295" t="s">
        <v>186</v>
      </c>
      <c r="D295" t="s">
        <v>188</v>
      </c>
      <c r="E295" t="s">
        <v>180</v>
      </c>
      <c r="F295">
        <v>105.32</v>
      </c>
      <c r="G295">
        <v>47.471800000000002</v>
      </c>
      <c r="H295" s="12">
        <f t="shared" si="2"/>
        <v>4999.7299759999996</v>
      </c>
      <c r="I295" s="2" t="s">
        <v>34</v>
      </c>
    </row>
    <row r="296" spans="1:9" ht="14.25" customHeight="1" x14ac:dyDescent="0.45">
      <c r="A296" s="2" t="s">
        <v>26</v>
      </c>
      <c r="B296" s="8">
        <v>19479811</v>
      </c>
      <c r="C296" t="s">
        <v>81</v>
      </c>
      <c r="D296" t="s">
        <v>82</v>
      </c>
      <c r="E296" t="s">
        <v>180</v>
      </c>
      <c r="F296">
        <v>3.1960000000000002</v>
      </c>
      <c r="G296">
        <v>1564.277</v>
      </c>
      <c r="H296" s="12">
        <f t="shared" si="2"/>
        <v>4999.4292920000007</v>
      </c>
      <c r="I296" s="2" t="s">
        <v>34</v>
      </c>
    </row>
    <row r="297" spans="1:9" ht="14.25" customHeight="1" x14ac:dyDescent="0.45">
      <c r="A297" s="2" t="s">
        <v>30</v>
      </c>
      <c r="B297" s="3">
        <v>36612038</v>
      </c>
      <c r="C297" t="s">
        <v>192</v>
      </c>
      <c r="D297" s="31" t="s">
        <v>194</v>
      </c>
      <c r="E297" s="31" t="s">
        <v>193</v>
      </c>
      <c r="F297" s="32">
        <v>2306.7750000000001</v>
      </c>
      <c r="G297" s="32">
        <v>45.52</v>
      </c>
      <c r="H297" s="32">
        <f t="shared" si="2"/>
        <v>105004.39800000002</v>
      </c>
      <c r="I297" s="2" t="s">
        <v>34</v>
      </c>
    </row>
    <row r="298" spans="1:9" ht="14.25" customHeight="1" x14ac:dyDescent="0.45">
      <c r="B298" s="3"/>
    </row>
    <row r="299" spans="1:9" ht="14.25" customHeight="1" x14ac:dyDescent="0.45">
      <c r="B299" s="3"/>
    </row>
    <row r="300" spans="1:9" ht="14.25" customHeight="1" x14ac:dyDescent="0.45">
      <c r="B300" s="3"/>
    </row>
    <row r="301" spans="1:9" ht="14.25" customHeight="1" x14ac:dyDescent="0.45">
      <c r="B301" s="3"/>
    </row>
    <row r="302" spans="1:9" ht="14.25" customHeight="1" x14ac:dyDescent="0.45">
      <c r="B302" s="3"/>
    </row>
    <row r="303" spans="1:9" ht="14.25" customHeight="1" x14ac:dyDescent="0.45">
      <c r="B303" s="3"/>
    </row>
    <row r="304" spans="1:9" ht="14.25" customHeight="1" x14ac:dyDescent="0.45">
      <c r="B304" s="3"/>
    </row>
    <row r="305" spans="2:2" ht="14.25" customHeight="1" x14ac:dyDescent="0.45">
      <c r="B305" s="3"/>
    </row>
    <row r="306" spans="2:2" ht="14.25" customHeight="1" x14ac:dyDescent="0.45">
      <c r="B306" s="3"/>
    </row>
    <row r="307" spans="2:2" ht="14.25" customHeight="1" x14ac:dyDescent="0.45">
      <c r="B307" s="3"/>
    </row>
    <row r="308" spans="2:2" ht="14.25" customHeight="1" x14ac:dyDescent="0.45">
      <c r="B308" s="3"/>
    </row>
    <row r="309" spans="2:2" ht="14.25" customHeight="1" x14ac:dyDescent="0.45">
      <c r="B309" s="3"/>
    </row>
    <row r="310" spans="2:2" ht="14.25" customHeight="1" x14ac:dyDescent="0.45">
      <c r="B310" s="3"/>
    </row>
    <row r="311" spans="2:2" ht="14.25" customHeight="1" x14ac:dyDescent="0.45">
      <c r="B311" s="3"/>
    </row>
    <row r="312" spans="2:2" ht="14.25" customHeight="1" x14ac:dyDescent="0.45">
      <c r="B312" s="3"/>
    </row>
    <row r="313" spans="2:2" ht="14.25" customHeight="1" x14ac:dyDescent="0.45">
      <c r="B313" s="3"/>
    </row>
    <row r="314" spans="2:2" ht="14.25" customHeight="1" x14ac:dyDescent="0.45">
      <c r="B314" s="3"/>
    </row>
    <row r="315" spans="2:2" ht="14.25" customHeight="1" x14ac:dyDescent="0.45">
      <c r="B315" s="3"/>
    </row>
    <row r="316" spans="2:2" ht="14.25" customHeight="1" x14ac:dyDescent="0.45">
      <c r="B316" s="3"/>
    </row>
    <row r="317" spans="2:2" ht="14.25" customHeight="1" x14ac:dyDescent="0.45">
      <c r="B317" s="3"/>
    </row>
    <row r="318" spans="2:2" ht="14.25" customHeight="1" x14ac:dyDescent="0.45">
      <c r="B318" s="3"/>
    </row>
    <row r="319" spans="2:2" ht="14.25" customHeight="1" x14ac:dyDescent="0.45">
      <c r="B319" s="3"/>
    </row>
    <row r="320" spans="2:2" ht="14.25" customHeight="1" x14ac:dyDescent="0.45">
      <c r="B320" s="3"/>
    </row>
    <row r="321" spans="2:2" ht="14.25" customHeight="1" x14ac:dyDescent="0.45">
      <c r="B321" s="3"/>
    </row>
    <row r="322" spans="2:2" ht="14.25" customHeight="1" x14ac:dyDescent="0.45">
      <c r="B322" s="3"/>
    </row>
    <row r="323" spans="2:2" ht="14.25" customHeight="1" x14ac:dyDescent="0.45">
      <c r="B323" s="3"/>
    </row>
    <row r="324" spans="2:2" ht="14.25" customHeight="1" x14ac:dyDescent="0.45">
      <c r="B324" s="3"/>
    </row>
    <row r="325" spans="2:2" ht="14.25" customHeight="1" x14ac:dyDescent="0.45">
      <c r="B325" s="3"/>
    </row>
    <row r="326" spans="2:2" ht="14.25" customHeight="1" x14ac:dyDescent="0.45">
      <c r="B326" s="3"/>
    </row>
    <row r="327" spans="2:2" ht="14.25" customHeight="1" x14ac:dyDescent="0.45">
      <c r="B327" s="3"/>
    </row>
    <row r="328" spans="2:2" ht="14.25" customHeight="1" x14ac:dyDescent="0.45">
      <c r="B328" s="3"/>
    </row>
    <row r="329" spans="2:2" ht="14.25" customHeight="1" x14ac:dyDescent="0.45">
      <c r="B329" s="3"/>
    </row>
    <row r="330" spans="2:2" ht="14.25" customHeight="1" x14ac:dyDescent="0.45">
      <c r="B330" s="3"/>
    </row>
    <row r="331" spans="2:2" ht="14.25" customHeight="1" x14ac:dyDescent="0.45">
      <c r="B331" s="3"/>
    </row>
    <row r="332" spans="2:2" ht="14.25" customHeight="1" x14ac:dyDescent="0.45">
      <c r="B332" s="3"/>
    </row>
    <row r="333" spans="2:2" ht="14.25" customHeight="1" x14ac:dyDescent="0.45">
      <c r="B333" s="3"/>
    </row>
    <row r="334" spans="2:2" ht="14.25" customHeight="1" x14ac:dyDescent="0.45">
      <c r="B334" s="3"/>
    </row>
    <row r="335" spans="2:2" ht="14.25" customHeight="1" x14ac:dyDescent="0.45">
      <c r="B335" s="3"/>
    </row>
    <row r="336" spans="2:2" ht="14.25" customHeight="1" x14ac:dyDescent="0.45">
      <c r="B336" s="3"/>
    </row>
    <row r="337" spans="2:2" ht="14.25" customHeight="1" x14ac:dyDescent="0.45">
      <c r="B337" s="3"/>
    </row>
    <row r="338" spans="2:2" ht="14.25" customHeight="1" x14ac:dyDescent="0.45">
      <c r="B338" s="3"/>
    </row>
    <row r="339" spans="2:2" ht="14.25" customHeight="1" x14ac:dyDescent="0.45">
      <c r="B339" s="3"/>
    </row>
    <row r="340" spans="2:2" ht="14.25" customHeight="1" x14ac:dyDescent="0.45">
      <c r="B340" s="3"/>
    </row>
    <row r="341" spans="2:2" ht="14.25" customHeight="1" x14ac:dyDescent="0.45">
      <c r="B341" s="3"/>
    </row>
    <row r="342" spans="2:2" ht="14.25" customHeight="1" x14ac:dyDescent="0.45">
      <c r="B342" s="3"/>
    </row>
    <row r="343" spans="2:2" ht="14.25" customHeight="1" x14ac:dyDescent="0.45">
      <c r="B343" s="3"/>
    </row>
    <row r="344" spans="2:2" ht="14.25" customHeight="1" x14ac:dyDescent="0.45">
      <c r="B344" s="3"/>
    </row>
    <row r="345" spans="2:2" ht="14.25" customHeight="1" x14ac:dyDescent="0.45">
      <c r="B345" s="3"/>
    </row>
    <row r="346" spans="2:2" ht="14.25" customHeight="1" x14ac:dyDescent="0.45">
      <c r="B346" s="3"/>
    </row>
    <row r="347" spans="2:2" ht="14.25" customHeight="1" x14ac:dyDescent="0.45">
      <c r="B347" s="3"/>
    </row>
    <row r="348" spans="2:2" ht="14.25" customHeight="1" x14ac:dyDescent="0.45">
      <c r="B348" s="3"/>
    </row>
    <row r="349" spans="2:2" ht="14.25" customHeight="1" x14ac:dyDescent="0.45">
      <c r="B349" s="3"/>
    </row>
    <row r="350" spans="2:2" ht="14.25" customHeight="1" x14ac:dyDescent="0.45">
      <c r="B350" s="3"/>
    </row>
    <row r="351" spans="2:2" ht="14.25" customHeight="1" x14ac:dyDescent="0.45">
      <c r="B351" s="3"/>
    </row>
    <row r="352" spans="2:2" ht="14.25" customHeight="1" x14ac:dyDescent="0.45">
      <c r="B352" s="3"/>
    </row>
    <row r="353" spans="2:2" ht="14.25" customHeight="1" x14ac:dyDescent="0.45">
      <c r="B353" s="3"/>
    </row>
    <row r="354" spans="2:2" ht="14.25" customHeight="1" x14ac:dyDescent="0.45">
      <c r="B354" s="3"/>
    </row>
    <row r="355" spans="2:2" ht="14.25" customHeight="1" x14ac:dyDescent="0.45">
      <c r="B355" s="3"/>
    </row>
    <row r="356" spans="2:2" ht="14.25" customHeight="1" x14ac:dyDescent="0.45">
      <c r="B356" s="3"/>
    </row>
    <row r="357" spans="2:2" ht="14.25" customHeight="1" x14ac:dyDescent="0.45">
      <c r="B357" s="3"/>
    </row>
    <row r="358" spans="2:2" ht="14.25" customHeight="1" x14ac:dyDescent="0.45">
      <c r="B358" s="3"/>
    </row>
    <row r="359" spans="2:2" ht="14.25" customHeight="1" x14ac:dyDescent="0.45">
      <c r="B359" s="3"/>
    </row>
    <row r="360" spans="2:2" ht="14.25" customHeight="1" x14ac:dyDescent="0.45">
      <c r="B360" s="3"/>
    </row>
    <row r="361" spans="2:2" ht="14.25" customHeight="1" x14ac:dyDescent="0.45">
      <c r="B361" s="3"/>
    </row>
    <row r="362" spans="2:2" ht="14.25" customHeight="1" x14ac:dyDescent="0.45">
      <c r="B362" s="3"/>
    </row>
    <row r="363" spans="2:2" ht="14.25" customHeight="1" x14ac:dyDescent="0.45">
      <c r="B363" s="3"/>
    </row>
    <row r="364" spans="2:2" ht="14.25" customHeight="1" x14ac:dyDescent="0.45">
      <c r="B364" s="3"/>
    </row>
    <row r="365" spans="2:2" ht="14.25" customHeight="1" x14ac:dyDescent="0.45">
      <c r="B365" s="3"/>
    </row>
    <row r="366" spans="2:2" ht="14.25" customHeight="1" x14ac:dyDescent="0.45">
      <c r="B366" s="3"/>
    </row>
    <row r="367" spans="2:2" ht="14.25" customHeight="1" x14ac:dyDescent="0.45">
      <c r="B367" s="3"/>
    </row>
    <row r="368" spans="2:2" ht="14.25" customHeight="1" x14ac:dyDescent="0.45">
      <c r="B368" s="3"/>
    </row>
    <row r="369" spans="2:2" ht="14.25" customHeight="1" x14ac:dyDescent="0.45">
      <c r="B369" s="3"/>
    </row>
    <row r="370" spans="2:2" ht="14.25" customHeight="1" x14ac:dyDescent="0.45">
      <c r="B370" s="3"/>
    </row>
    <row r="371" spans="2:2" ht="14.25" customHeight="1" x14ac:dyDescent="0.45">
      <c r="B371" s="3"/>
    </row>
    <row r="372" spans="2:2" ht="14.25" customHeight="1" x14ac:dyDescent="0.45">
      <c r="B372" s="3"/>
    </row>
    <row r="373" spans="2:2" ht="14.25" customHeight="1" x14ac:dyDescent="0.45">
      <c r="B373" s="3"/>
    </row>
    <row r="374" spans="2:2" ht="14.25" customHeight="1" x14ac:dyDescent="0.45">
      <c r="B374" s="3"/>
    </row>
    <row r="375" spans="2:2" ht="14.25" customHeight="1" x14ac:dyDescent="0.45">
      <c r="B375" s="3"/>
    </row>
    <row r="376" spans="2:2" ht="14.25" customHeight="1" x14ac:dyDescent="0.45">
      <c r="B376" s="3"/>
    </row>
    <row r="377" spans="2:2" ht="14.25" customHeight="1" x14ac:dyDescent="0.45">
      <c r="B377" s="3"/>
    </row>
    <row r="378" spans="2:2" ht="14.25" customHeight="1" x14ac:dyDescent="0.45">
      <c r="B378" s="3"/>
    </row>
    <row r="379" spans="2:2" ht="14.25" customHeight="1" x14ac:dyDescent="0.45">
      <c r="B379" s="3"/>
    </row>
    <row r="380" spans="2:2" ht="14.25" customHeight="1" x14ac:dyDescent="0.45">
      <c r="B380" s="3"/>
    </row>
    <row r="381" spans="2:2" ht="14.25" customHeight="1" x14ac:dyDescent="0.45">
      <c r="B381" s="3"/>
    </row>
    <row r="382" spans="2:2" ht="14.25" customHeight="1" x14ac:dyDescent="0.45">
      <c r="B382" s="3"/>
    </row>
    <row r="383" spans="2:2" ht="14.25" customHeight="1" x14ac:dyDescent="0.45">
      <c r="B383" s="3"/>
    </row>
    <row r="384" spans="2:2" ht="14.25" customHeight="1" x14ac:dyDescent="0.45">
      <c r="B384" s="3"/>
    </row>
    <row r="385" spans="2:2" ht="14.25" customHeight="1" x14ac:dyDescent="0.45">
      <c r="B385" s="3"/>
    </row>
    <row r="386" spans="2:2" ht="14.25" customHeight="1" x14ac:dyDescent="0.45">
      <c r="B386" s="3"/>
    </row>
    <row r="387" spans="2:2" ht="14.25" customHeight="1" x14ac:dyDescent="0.45">
      <c r="B387" s="3"/>
    </row>
    <row r="388" spans="2:2" ht="14.25" customHeight="1" x14ac:dyDescent="0.45">
      <c r="B388" s="3"/>
    </row>
    <row r="389" spans="2:2" ht="14.25" customHeight="1" x14ac:dyDescent="0.45">
      <c r="B389" s="3"/>
    </row>
    <row r="390" spans="2:2" ht="14.25" customHeight="1" x14ac:dyDescent="0.45">
      <c r="B390" s="3"/>
    </row>
    <row r="391" spans="2:2" ht="14.25" customHeight="1" x14ac:dyDescent="0.45">
      <c r="B391" s="3"/>
    </row>
    <row r="392" spans="2:2" ht="14.25" customHeight="1" x14ac:dyDescent="0.45">
      <c r="B392" s="3"/>
    </row>
    <row r="393" spans="2:2" ht="14.25" customHeight="1" x14ac:dyDescent="0.45">
      <c r="B393" s="3"/>
    </row>
    <row r="394" spans="2:2" ht="14.25" customHeight="1" x14ac:dyDescent="0.45">
      <c r="B394" s="3"/>
    </row>
    <row r="395" spans="2:2" ht="14.25" customHeight="1" x14ac:dyDescent="0.45">
      <c r="B395" s="3"/>
    </row>
    <row r="396" spans="2:2" ht="14.25" customHeight="1" x14ac:dyDescent="0.45">
      <c r="B396" s="3"/>
    </row>
    <row r="397" spans="2:2" ht="14.25" customHeight="1" x14ac:dyDescent="0.45">
      <c r="B397" s="3"/>
    </row>
    <row r="398" spans="2:2" ht="14.25" customHeight="1" x14ac:dyDescent="0.45">
      <c r="B398" s="3"/>
    </row>
    <row r="399" spans="2:2" ht="14.25" customHeight="1" x14ac:dyDescent="0.45">
      <c r="B399" s="3"/>
    </row>
    <row r="400" spans="2:2" ht="14.25" customHeight="1" x14ac:dyDescent="0.45">
      <c r="B400" s="3"/>
    </row>
    <row r="401" spans="2:2" ht="14.25" customHeight="1" x14ac:dyDescent="0.45">
      <c r="B401" s="3"/>
    </row>
    <row r="402" spans="2:2" ht="14.25" customHeight="1" x14ac:dyDescent="0.45">
      <c r="B402" s="3"/>
    </row>
    <row r="403" spans="2:2" ht="14.25" customHeight="1" x14ac:dyDescent="0.45">
      <c r="B403" s="3"/>
    </row>
    <row r="404" spans="2:2" ht="14.25" customHeight="1" x14ac:dyDescent="0.45">
      <c r="B404" s="3"/>
    </row>
    <row r="405" spans="2:2" ht="14.25" customHeight="1" x14ac:dyDescent="0.45">
      <c r="B405" s="3"/>
    </row>
    <row r="406" spans="2:2" ht="14.25" customHeight="1" x14ac:dyDescent="0.45">
      <c r="B406" s="3"/>
    </row>
    <row r="407" spans="2:2" ht="14.25" customHeight="1" x14ac:dyDescent="0.45">
      <c r="B407" s="3"/>
    </row>
    <row r="408" spans="2:2" ht="14.25" customHeight="1" x14ac:dyDescent="0.45">
      <c r="B408" s="3"/>
    </row>
    <row r="409" spans="2:2" ht="14.25" customHeight="1" x14ac:dyDescent="0.45">
      <c r="B409" s="3"/>
    </row>
    <row r="410" spans="2:2" ht="14.25" customHeight="1" x14ac:dyDescent="0.45">
      <c r="B410" s="3"/>
    </row>
    <row r="411" spans="2:2" ht="14.25" customHeight="1" x14ac:dyDescent="0.45">
      <c r="B411" s="3"/>
    </row>
    <row r="412" spans="2:2" ht="14.25" customHeight="1" x14ac:dyDescent="0.45">
      <c r="B412" s="3"/>
    </row>
    <row r="413" spans="2:2" ht="14.25" customHeight="1" x14ac:dyDescent="0.45">
      <c r="B413" s="3"/>
    </row>
    <row r="414" spans="2:2" ht="14.25" customHeight="1" x14ac:dyDescent="0.45">
      <c r="B414" s="3"/>
    </row>
    <row r="415" spans="2:2" ht="14.25" customHeight="1" x14ac:dyDescent="0.45">
      <c r="B415" s="3"/>
    </row>
    <row r="416" spans="2:2" ht="14.25" customHeight="1" x14ac:dyDescent="0.45">
      <c r="B416" s="3"/>
    </row>
    <row r="417" spans="2:2" ht="14.25" customHeight="1" x14ac:dyDescent="0.45">
      <c r="B417" s="3"/>
    </row>
    <row r="418" spans="2:2" ht="14.25" customHeight="1" x14ac:dyDescent="0.45">
      <c r="B418" s="3"/>
    </row>
    <row r="419" spans="2:2" ht="14.25" customHeight="1" x14ac:dyDescent="0.45">
      <c r="B419" s="3"/>
    </row>
    <row r="420" spans="2:2" ht="14.25" customHeight="1" x14ac:dyDescent="0.45">
      <c r="B420" s="3"/>
    </row>
    <row r="421" spans="2:2" ht="14.25" customHeight="1" x14ac:dyDescent="0.45">
      <c r="B421" s="3"/>
    </row>
    <row r="422" spans="2:2" ht="14.25" customHeight="1" x14ac:dyDescent="0.45">
      <c r="B422" s="3"/>
    </row>
    <row r="423" spans="2:2" ht="14.25" customHeight="1" x14ac:dyDescent="0.45">
      <c r="B423" s="3"/>
    </row>
    <row r="424" spans="2:2" ht="14.25" customHeight="1" x14ac:dyDescent="0.45">
      <c r="B424" s="3"/>
    </row>
    <row r="425" spans="2:2" ht="14.25" customHeight="1" x14ac:dyDescent="0.45">
      <c r="B425" s="3"/>
    </row>
    <row r="426" spans="2:2" ht="14.25" customHeight="1" x14ac:dyDescent="0.45">
      <c r="B426" s="3"/>
    </row>
    <row r="427" spans="2:2" ht="14.25" customHeight="1" x14ac:dyDescent="0.45">
      <c r="B427" s="3"/>
    </row>
    <row r="428" spans="2:2" ht="14.25" customHeight="1" x14ac:dyDescent="0.45">
      <c r="B428" s="3"/>
    </row>
    <row r="429" spans="2:2" ht="14.25" customHeight="1" x14ac:dyDescent="0.45">
      <c r="B429" s="3"/>
    </row>
    <row r="430" spans="2:2" ht="14.25" customHeight="1" x14ac:dyDescent="0.45">
      <c r="B430" s="3"/>
    </row>
    <row r="431" spans="2:2" ht="14.25" customHeight="1" x14ac:dyDescent="0.45">
      <c r="B431" s="3"/>
    </row>
    <row r="432" spans="2:2" ht="14.25" customHeight="1" x14ac:dyDescent="0.45">
      <c r="B432" s="3"/>
    </row>
    <row r="433" spans="2:2" ht="14.25" customHeight="1" x14ac:dyDescent="0.45">
      <c r="B433" s="3"/>
    </row>
    <row r="434" spans="2:2" ht="14.25" customHeight="1" x14ac:dyDescent="0.45">
      <c r="B434" s="3"/>
    </row>
    <row r="435" spans="2:2" ht="14.25" customHeight="1" x14ac:dyDescent="0.45">
      <c r="B435" s="3"/>
    </row>
    <row r="436" spans="2:2" ht="14.25" customHeight="1" x14ac:dyDescent="0.45">
      <c r="B436" s="3"/>
    </row>
    <row r="437" spans="2:2" ht="14.25" customHeight="1" x14ac:dyDescent="0.45">
      <c r="B437" s="3"/>
    </row>
    <row r="438" spans="2:2" ht="14.25" customHeight="1" x14ac:dyDescent="0.45">
      <c r="B438" s="3"/>
    </row>
    <row r="439" spans="2:2" ht="14.25" customHeight="1" x14ac:dyDescent="0.45">
      <c r="B439" s="3"/>
    </row>
    <row r="440" spans="2:2" ht="14.25" customHeight="1" x14ac:dyDescent="0.45">
      <c r="B440" s="3"/>
    </row>
    <row r="441" spans="2:2" ht="14.25" customHeight="1" x14ac:dyDescent="0.45">
      <c r="B441" s="3"/>
    </row>
    <row r="442" spans="2:2" ht="14.25" customHeight="1" x14ac:dyDescent="0.45">
      <c r="B442" s="3"/>
    </row>
    <row r="443" spans="2:2" ht="14.25" customHeight="1" x14ac:dyDescent="0.45">
      <c r="B443" s="3"/>
    </row>
    <row r="444" spans="2:2" ht="14.25" customHeight="1" x14ac:dyDescent="0.45">
      <c r="B444" s="3"/>
    </row>
    <row r="445" spans="2:2" ht="14.25" customHeight="1" x14ac:dyDescent="0.45">
      <c r="B445" s="3"/>
    </row>
    <row r="446" spans="2:2" ht="14.25" customHeight="1" x14ac:dyDescent="0.45">
      <c r="B446" s="3"/>
    </row>
    <row r="447" spans="2:2" ht="14.25" customHeight="1" x14ac:dyDescent="0.45">
      <c r="B447" s="3"/>
    </row>
    <row r="448" spans="2:2" ht="14.25" customHeight="1" x14ac:dyDescent="0.45">
      <c r="B448" s="3"/>
    </row>
    <row r="449" spans="2:2" ht="14.25" customHeight="1" x14ac:dyDescent="0.45">
      <c r="B449" s="3"/>
    </row>
    <row r="450" spans="2:2" ht="14.25" customHeight="1" x14ac:dyDescent="0.45">
      <c r="B450" s="3"/>
    </row>
    <row r="451" spans="2:2" ht="14.25" customHeight="1" x14ac:dyDescent="0.45">
      <c r="B451" s="3"/>
    </row>
    <row r="452" spans="2:2" ht="14.25" customHeight="1" x14ac:dyDescent="0.45">
      <c r="B452" s="3"/>
    </row>
    <row r="453" spans="2:2" ht="14.25" customHeight="1" x14ac:dyDescent="0.45">
      <c r="B453" s="3"/>
    </row>
    <row r="454" spans="2:2" ht="14.25" customHeight="1" x14ac:dyDescent="0.45">
      <c r="B454" s="3"/>
    </row>
    <row r="455" spans="2:2" ht="14.25" customHeight="1" x14ac:dyDescent="0.45">
      <c r="B455" s="3"/>
    </row>
    <row r="456" spans="2:2" ht="14.25" customHeight="1" x14ac:dyDescent="0.45">
      <c r="B456" s="3"/>
    </row>
    <row r="457" spans="2:2" ht="14.25" customHeight="1" x14ac:dyDescent="0.45">
      <c r="B457" s="3"/>
    </row>
    <row r="458" spans="2:2" ht="14.25" customHeight="1" x14ac:dyDescent="0.45">
      <c r="B458" s="3"/>
    </row>
    <row r="459" spans="2:2" ht="14.25" customHeight="1" x14ac:dyDescent="0.45">
      <c r="B459" s="3"/>
    </row>
    <row r="460" spans="2:2" ht="14.25" customHeight="1" x14ac:dyDescent="0.45">
      <c r="B460" s="3"/>
    </row>
    <row r="461" spans="2:2" ht="14.25" customHeight="1" x14ac:dyDescent="0.45">
      <c r="B461" s="3"/>
    </row>
    <row r="462" spans="2:2" ht="14.25" customHeight="1" x14ac:dyDescent="0.45">
      <c r="B462" s="3"/>
    </row>
    <row r="463" spans="2:2" ht="14.25" customHeight="1" x14ac:dyDescent="0.45">
      <c r="B463" s="3"/>
    </row>
    <row r="464" spans="2:2" ht="14.25" customHeight="1" x14ac:dyDescent="0.45">
      <c r="B464" s="3"/>
    </row>
    <row r="465" spans="2:2" ht="14.25" customHeight="1" x14ac:dyDescent="0.45">
      <c r="B465" s="3"/>
    </row>
    <row r="466" spans="2:2" ht="14.25" customHeight="1" x14ac:dyDescent="0.45">
      <c r="B466" s="3"/>
    </row>
    <row r="467" spans="2:2" ht="14.25" customHeight="1" x14ac:dyDescent="0.45">
      <c r="B467" s="3"/>
    </row>
    <row r="468" spans="2:2" ht="14.25" customHeight="1" x14ac:dyDescent="0.45">
      <c r="B468" s="3"/>
    </row>
    <row r="469" spans="2:2" ht="14.25" customHeight="1" x14ac:dyDescent="0.45">
      <c r="B469" s="3"/>
    </row>
    <row r="470" spans="2:2" ht="14.25" customHeight="1" x14ac:dyDescent="0.45">
      <c r="B470" s="3"/>
    </row>
    <row r="471" spans="2:2" ht="14.25" customHeight="1" x14ac:dyDescent="0.45">
      <c r="B471" s="3"/>
    </row>
    <row r="472" spans="2:2" ht="14.25" customHeight="1" x14ac:dyDescent="0.45">
      <c r="B472" s="3"/>
    </row>
    <row r="473" spans="2:2" ht="14.25" customHeight="1" x14ac:dyDescent="0.45">
      <c r="B473" s="3"/>
    </row>
    <row r="474" spans="2:2" ht="14.25" customHeight="1" x14ac:dyDescent="0.45">
      <c r="B474" s="3"/>
    </row>
    <row r="475" spans="2:2" ht="14.25" customHeight="1" x14ac:dyDescent="0.45">
      <c r="B475" s="3"/>
    </row>
    <row r="476" spans="2:2" ht="14.25" customHeight="1" x14ac:dyDescent="0.45">
      <c r="B476" s="3"/>
    </row>
    <row r="477" spans="2:2" ht="14.25" customHeight="1" x14ac:dyDescent="0.45">
      <c r="B477" s="3"/>
    </row>
    <row r="478" spans="2:2" ht="14.25" customHeight="1" x14ac:dyDescent="0.45">
      <c r="B478" s="3"/>
    </row>
    <row r="479" spans="2:2" ht="14.25" customHeight="1" x14ac:dyDescent="0.45">
      <c r="B479" s="3"/>
    </row>
    <row r="480" spans="2:2" ht="14.25" customHeight="1" x14ac:dyDescent="0.45">
      <c r="B480" s="3"/>
    </row>
    <row r="481" spans="2:2" ht="14.25" customHeight="1" x14ac:dyDescent="0.45">
      <c r="B481" s="3"/>
    </row>
    <row r="482" spans="2:2" ht="14.25" customHeight="1" x14ac:dyDescent="0.45">
      <c r="B482" s="3"/>
    </row>
    <row r="483" spans="2:2" ht="14.25" customHeight="1" x14ac:dyDescent="0.45">
      <c r="B483" s="3"/>
    </row>
    <row r="484" spans="2:2" ht="14.25" customHeight="1" x14ac:dyDescent="0.45">
      <c r="B484" s="3"/>
    </row>
    <row r="485" spans="2:2" ht="14.25" customHeight="1" x14ac:dyDescent="0.45">
      <c r="B485" s="3"/>
    </row>
    <row r="486" spans="2:2" ht="14.25" customHeight="1" x14ac:dyDescent="0.45">
      <c r="B486" s="3"/>
    </row>
    <row r="487" spans="2:2" ht="14.25" customHeight="1" x14ac:dyDescent="0.45">
      <c r="B487" s="3"/>
    </row>
    <row r="488" spans="2:2" ht="14.25" customHeight="1" x14ac:dyDescent="0.45">
      <c r="B488" s="3"/>
    </row>
    <row r="489" spans="2:2" ht="14.25" customHeight="1" x14ac:dyDescent="0.45">
      <c r="B489" s="3"/>
    </row>
    <row r="490" spans="2:2" ht="14.25" customHeight="1" x14ac:dyDescent="0.45">
      <c r="B490" s="3"/>
    </row>
    <row r="491" spans="2:2" ht="14.25" customHeight="1" x14ac:dyDescent="0.45">
      <c r="B491" s="3"/>
    </row>
    <row r="492" spans="2:2" ht="14.25" customHeight="1" x14ac:dyDescent="0.45">
      <c r="B492" s="3"/>
    </row>
    <row r="493" spans="2:2" ht="14.25" customHeight="1" x14ac:dyDescent="0.45">
      <c r="B493" s="3"/>
    </row>
    <row r="494" spans="2:2" ht="14.25" customHeight="1" x14ac:dyDescent="0.45">
      <c r="B494" s="3"/>
    </row>
    <row r="495" spans="2:2" ht="14.25" customHeight="1" x14ac:dyDescent="0.45">
      <c r="B495" s="3"/>
    </row>
    <row r="496" spans="2:2" ht="14.25" customHeight="1" x14ac:dyDescent="0.45">
      <c r="B496" s="3"/>
    </row>
    <row r="497" spans="2:2" ht="14.25" customHeight="1" x14ac:dyDescent="0.45">
      <c r="B497" s="3"/>
    </row>
    <row r="498" spans="2:2" ht="14.25" customHeight="1" x14ac:dyDescent="0.45">
      <c r="B498" s="3"/>
    </row>
    <row r="499" spans="2:2" ht="14.25" customHeight="1" x14ac:dyDescent="0.45">
      <c r="B499" s="3"/>
    </row>
    <row r="500" spans="2:2" ht="14.25" customHeight="1" x14ac:dyDescent="0.45">
      <c r="B500" s="3"/>
    </row>
    <row r="501" spans="2:2" ht="14.25" customHeight="1" x14ac:dyDescent="0.45">
      <c r="B501" s="3"/>
    </row>
    <row r="502" spans="2:2" ht="14.25" customHeight="1" x14ac:dyDescent="0.45">
      <c r="B502" s="3"/>
    </row>
    <row r="503" spans="2:2" ht="14.25" customHeight="1" x14ac:dyDescent="0.45">
      <c r="B503" s="3"/>
    </row>
    <row r="504" spans="2:2" ht="14.25" customHeight="1" x14ac:dyDescent="0.45">
      <c r="B504" s="3"/>
    </row>
    <row r="505" spans="2:2" ht="14.25" customHeight="1" x14ac:dyDescent="0.45">
      <c r="B505" s="3"/>
    </row>
    <row r="506" spans="2:2" ht="14.25" customHeight="1" x14ac:dyDescent="0.45">
      <c r="B506" s="3"/>
    </row>
    <row r="507" spans="2:2" ht="14.25" customHeight="1" x14ac:dyDescent="0.45">
      <c r="B507" s="3"/>
    </row>
    <row r="508" spans="2:2" ht="14.25" customHeight="1" x14ac:dyDescent="0.45">
      <c r="B508" s="3"/>
    </row>
    <row r="509" spans="2:2" ht="14.25" customHeight="1" x14ac:dyDescent="0.45">
      <c r="B509" s="3"/>
    </row>
    <row r="510" spans="2:2" ht="14.25" customHeight="1" x14ac:dyDescent="0.45">
      <c r="B510" s="3"/>
    </row>
    <row r="511" spans="2:2" ht="14.25" customHeight="1" x14ac:dyDescent="0.45">
      <c r="B511" s="3"/>
    </row>
    <row r="512" spans="2:2" ht="14.25" customHeight="1" x14ac:dyDescent="0.45">
      <c r="B512" s="3"/>
    </row>
    <row r="513" spans="2:2" ht="14.25" customHeight="1" x14ac:dyDescent="0.45">
      <c r="B513" s="3"/>
    </row>
    <row r="514" spans="2:2" ht="14.25" customHeight="1" x14ac:dyDescent="0.45">
      <c r="B514" s="3"/>
    </row>
    <row r="515" spans="2:2" ht="14.25" customHeight="1" x14ac:dyDescent="0.45">
      <c r="B515" s="3"/>
    </row>
    <row r="516" spans="2:2" ht="14.25" customHeight="1" x14ac:dyDescent="0.45">
      <c r="B516" s="3"/>
    </row>
    <row r="517" spans="2:2" ht="14.25" customHeight="1" x14ac:dyDescent="0.45">
      <c r="B517" s="3"/>
    </row>
    <row r="518" spans="2:2" ht="14.25" customHeight="1" x14ac:dyDescent="0.45">
      <c r="B518" s="3"/>
    </row>
    <row r="519" spans="2:2" ht="14.25" customHeight="1" x14ac:dyDescent="0.45">
      <c r="B519" s="3"/>
    </row>
    <row r="520" spans="2:2" ht="14.25" customHeight="1" x14ac:dyDescent="0.45">
      <c r="B520" s="3"/>
    </row>
    <row r="521" spans="2:2" ht="14.25" customHeight="1" x14ac:dyDescent="0.45">
      <c r="B521" s="3"/>
    </row>
    <row r="522" spans="2:2" ht="14.25" customHeight="1" x14ac:dyDescent="0.45">
      <c r="B522" s="3"/>
    </row>
    <row r="523" spans="2:2" ht="14.25" customHeight="1" x14ac:dyDescent="0.45">
      <c r="B523" s="3"/>
    </row>
    <row r="524" spans="2:2" ht="14.25" customHeight="1" x14ac:dyDescent="0.45">
      <c r="B524" s="3"/>
    </row>
    <row r="525" spans="2:2" ht="14.25" customHeight="1" x14ac:dyDescent="0.45">
      <c r="B525" s="3"/>
    </row>
    <row r="526" spans="2:2" ht="14.25" customHeight="1" x14ac:dyDescent="0.45">
      <c r="B526" s="3"/>
    </row>
    <row r="527" spans="2:2" ht="14.25" customHeight="1" x14ac:dyDescent="0.45">
      <c r="B527" s="3"/>
    </row>
    <row r="528" spans="2:2" ht="14.25" customHeight="1" x14ac:dyDescent="0.45">
      <c r="B528" s="3"/>
    </row>
    <row r="529" spans="2:2" ht="14.25" customHeight="1" x14ac:dyDescent="0.45">
      <c r="B529" s="3"/>
    </row>
    <row r="530" spans="2:2" ht="14.25" customHeight="1" x14ac:dyDescent="0.45">
      <c r="B530" s="3"/>
    </row>
    <row r="531" spans="2:2" ht="14.25" customHeight="1" x14ac:dyDescent="0.45">
      <c r="B531" s="3"/>
    </row>
    <row r="532" spans="2:2" ht="14.25" customHeight="1" x14ac:dyDescent="0.45">
      <c r="B532" s="3"/>
    </row>
    <row r="533" spans="2:2" ht="14.25" customHeight="1" x14ac:dyDescent="0.45">
      <c r="B533" s="3"/>
    </row>
    <row r="534" spans="2:2" ht="14.25" customHeight="1" x14ac:dyDescent="0.45">
      <c r="B534" s="3"/>
    </row>
    <row r="535" spans="2:2" ht="14.25" customHeight="1" x14ac:dyDescent="0.45">
      <c r="B535" s="3"/>
    </row>
    <row r="536" spans="2:2" ht="14.25" customHeight="1" x14ac:dyDescent="0.45">
      <c r="B536" s="3"/>
    </row>
    <row r="537" spans="2:2" ht="14.25" customHeight="1" x14ac:dyDescent="0.45">
      <c r="B537" s="3"/>
    </row>
    <row r="538" spans="2:2" ht="14.25" customHeight="1" x14ac:dyDescent="0.45">
      <c r="B538" s="3"/>
    </row>
    <row r="539" spans="2:2" ht="14.25" customHeight="1" x14ac:dyDescent="0.45">
      <c r="B539" s="3"/>
    </row>
    <row r="540" spans="2:2" ht="14.25" customHeight="1" x14ac:dyDescent="0.45">
      <c r="B540" s="3"/>
    </row>
    <row r="541" spans="2:2" ht="14.25" customHeight="1" x14ac:dyDescent="0.45">
      <c r="B541" s="3"/>
    </row>
    <row r="542" spans="2:2" ht="14.25" customHeight="1" x14ac:dyDescent="0.45">
      <c r="B542" s="3"/>
    </row>
    <row r="543" spans="2:2" ht="14.25" customHeight="1" x14ac:dyDescent="0.45">
      <c r="B543" s="3"/>
    </row>
    <row r="544" spans="2:2" ht="14.25" customHeight="1" x14ac:dyDescent="0.45">
      <c r="B544" s="3"/>
    </row>
    <row r="545" spans="2:2" ht="14.25" customHeight="1" x14ac:dyDescent="0.45">
      <c r="B545" s="3"/>
    </row>
    <row r="546" spans="2:2" ht="14.25" customHeight="1" x14ac:dyDescent="0.45">
      <c r="B546" s="3"/>
    </row>
    <row r="547" spans="2:2" ht="14.25" customHeight="1" x14ac:dyDescent="0.45">
      <c r="B547" s="3"/>
    </row>
    <row r="548" spans="2:2" ht="14.25" customHeight="1" x14ac:dyDescent="0.45">
      <c r="B548" s="3"/>
    </row>
    <row r="549" spans="2:2" ht="14.25" customHeight="1" x14ac:dyDescent="0.45">
      <c r="B549" s="3"/>
    </row>
    <row r="550" spans="2:2" ht="14.25" customHeight="1" x14ac:dyDescent="0.45">
      <c r="B550" s="3"/>
    </row>
    <row r="551" spans="2:2" ht="14.25" customHeight="1" x14ac:dyDescent="0.45">
      <c r="B551" s="3"/>
    </row>
    <row r="552" spans="2:2" ht="14.25" customHeight="1" x14ac:dyDescent="0.45">
      <c r="B552" s="3"/>
    </row>
    <row r="553" spans="2:2" ht="14.25" customHeight="1" x14ac:dyDescent="0.45">
      <c r="B553" s="3"/>
    </row>
    <row r="554" spans="2:2" ht="14.25" customHeight="1" x14ac:dyDescent="0.45">
      <c r="B554" s="3"/>
    </row>
    <row r="555" spans="2:2" ht="14.25" customHeight="1" x14ac:dyDescent="0.45">
      <c r="B555" s="3"/>
    </row>
    <row r="556" spans="2:2" ht="14.25" customHeight="1" x14ac:dyDescent="0.45">
      <c r="B556" s="3"/>
    </row>
    <row r="557" spans="2:2" ht="14.25" customHeight="1" x14ac:dyDescent="0.45">
      <c r="B557" s="3"/>
    </row>
    <row r="558" spans="2:2" ht="14.25" customHeight="1" x14ac:dyDescent="0.45">
      <c r="B558" s="3"/>
    </row>
    <row r="559" spans="2:2" ht="14.25" customHeight="1" x14ac:dyDescent="0.45">
      <c r="B559" s="3"/>
    </row>
    <row r="560" spans="2:2" ht="14.25" customHeight="1" x14ac:dyDescent="0.45">
      <c r="B560" s="3"/>
    </row>
    <row r="561" spans="2:2" ht="14.25" customHeight="1" x14ac:dyDescent="0.45">
      <c r="B561" s="3"/>
    </row>
    <row r="562" spans="2:2" ht="14.25" customHeight="1" x14ac:dyDescent="0.45">
      <c r="B562" s="3"/>
    </row>
    <row r="563" spans="2:2" ht="14.25" customHeight="1" x14ac:dyDescent="0.45">
      <c r="B563" s="3"/>
    </row>
    <row r="564" spans="2:2" ht="14.25" customHeight="1" x14ac:dyDescent="0.45">
      <c r="B564" s="3"/>
    </row>
    <row r="565" spans="2:2" ht="14.25" customHeight="1" x14ac:dyDescent="0.45">
      <c r="B565" s="3"/>
    </row>
    <row r="566" spans="2:2" ht="14.25" customHeight="1" x14ac:dyDescent="0.45">
      <c r="B566" s="3"/>
    </row>
    <row r="567" spans="2:2" ht="14.25" customHeight="1" x14ac:dyDescent="0.45">
      <c r="B567" s="3"/>
    </row>
    <row r="568" spans="2:2" ht="14.25" customHeight="1" x14ac:dyDescent="0.45">
      <c r="B568" s="3"/>
    </row>
    <row r="569" spans="2:2" ht="14.25" customHeight="1" x14ac:dyDescent="0.45">
      <c r="B569" s="3"/>
    </row>
    <row r="570" spans="2:2" ht="14.25" customHeight="1" x14ac:dyDescent="0.45">
      <c r="B570" s="3"/>
    </row>
    <row r="571" spans="2:2" ht="14.25" customHeight="1" x14ac:dyDescent="0.45">
      <c r="B571" s="3"/>
    </row>
    <row r="572" spans="2:2" ht="14.25" customHeight="1" x14ac:dyDescent="0.45">
      <c r="B572" s="3"/>
    </row>
    <row r="573" spans="2:2" ht="14.25" customHeight="1" x14ac:dyDescent="0.45">
      <c r="B573" s="3"/>
    </row>
    <row r="574" spans="2:2" ht="14.25" customHeight="1" x14ac:dyDescent="0.45">
      <c r="B574" s="3"/>
    </row>
    <row r="575" spans="2:2" ht="14.25" customHeight="1" x14ac:dyDescent="0.45">
      <c r="B575" s="3"/>
    </row>
    <row r="576" spans="2:2" ht="14.25" customHeight="1" x14ac:dyDescent="0.45">
      <c r="B576" s="3"/>
    </row>
    <row r="577" spans="2:2" ht="14.25" customHeight="1" x14ac:dyDescent="0.45">
      <c r="B577" s="3"/>
    </row>
    <row r="578" spans="2:2" ht="14.25" customHeight="1" x14ac:dyDescent="0.45">
      <c r="B578" s="3"/>
    </row>
    <row r="579" spans="2:2" ht="14.25" customHeight="1" x14ac:dyDescent="0.45">
      <c r="B579" s="3"/>
    </row>
    <row r="580" spans="2:2" ht="14.25" customHeight="1" x14ac:dyDescent="0.45">
      <c r="B580" s="3"/>
    </row>
    <row r="581" spans="2:2" ht="14.25" customHeight="1" x14ac:dyDescent="0.45">
      <c r="B581" s="3"/>
    </row>
    <row r="582" spans="2:2" ht="14.25" customHeight="1" x14ac:dyDescent="0.45">
      <c r="B582" s="3"/>
    </row>
    <row r="583" spans="2:2" ht="14.25" customHeight="1" x14ac:dyDescent="0.45">
      <c r="B583" s="3"/>
    </row>
    <row r="584" spans="2:2" ht="14.25" customHeight="1" x14ac:dyDescent="0.45">
      <c r="B584" s="3"/>
    </row>
    <row r="585" spans="2:2" ht="14.25" customHeight="1" x14ac:dyDescent="0.45">
      <c r="B585" s="3"/>
    </row>
    <row r="586" spans="2:2" ht="14.25" customHeight="1" x14ac:dyDescent="0.45">
      <c r="B586" s="3"/>
    </row>
    <row r="587" spans="2:2" ht="14.25" customHeight="1" x14ac:dyDescent="0.45">
      <c r="B587" s="3"/>
    </row>
    <row r="588" spans="2:2" ht="14.25" customHeight="1" x14ac:dyDescent="0.45">
      <c r="B588" s="3"/>
    </row>
    <row r="589" spans="2:2" ht="14.25" customHeight="1" x14ac:dyDescent="0.45">
      <c r="B589" s="3"/>
    </row>
    <row r="590" spans="2:2" ht="14.25" customHeight="1" x14ac:dyDescent="0.45">
      <c r="B590" s="3"/>
    </row>
    <row r="591" spans="2:2" ht="14.25" customHeight="1" x14ac:dyDescent="0.45">
      <c r="B591" s="3"/>
    </row>
    <row r="592" spans="2:2" ht="14.25" customHeight="1" x14ac:dyDescent="0.45">
      <c r="B592" s="3"/>
    </row>
    <row r="593" spans="2:2" ht="14.25" customHeight="1" x14ac:dyDescent="0.45">
      <c r="B593" s="3"/>
    </row>
    <row r="594" spans="2:2" ht="14.25" customHeight="1" x14ac:dyDescent="0.45">
      <c r="B594" s="3"/>
    </row>
    <row r="595" spans="2:2" ht="14.25" customHeight="1" x14ac:dyDescent="0.45">
      <c r="B595" s="3"/>
    </row>
    <row r="596" spans="2:2" ht="14.25" customHeight="1" x14ac:dyDescent="0.45">
      <c r="B596" s="3"/>
    </row>
    <row r="597" spans="2:2" ht="14.25" customHeight="1" x14ac:dyDescent="0.45">
      <c r="B597" s="3"/>
    </row>
    <row r="598" spans="2:2" ht="14.25" customHeight="1" x14ac:dyDescent="0.45">
      <c r="B598" s="3"/>
    </row>
    <row r="599" spans="2:2" ht="14.25" customHeight="1" x14ac:dyDescent="0.45">
      <c r="B599" s="3"/>
    </row>
    <row r="600" spans="2:2" ht="14.25" customHeight="1" x14ac:dyDescent="0.45">
      <c r="B600" s="3"/>
    </row>
    <row r="601" spans="2:2" ht="14.25" customHeight="1" x14ac:dyDescent="0.45">
      <c r="B601" s="3"/>
    </row>
    <row r="602" spans="2:2" ht="14.25" customHeight="1" x14ac:dyDescent="0.45">
      <c r="B602" s="3"/>
    </row>
    <row r="603" spans="2:2" ht="14.25" customHeight="1" x14ac:dyDescent="0.45">
      <c r="B603" s="3"/>
    </row>
    <row r="604" spans="2:2" ht="14.25" customHeight="1" x14ac:dyDescent="0.45">
      <c r="B604" s="3"/>
    </row>
    <row r="605" spans="2:2" ht="14.25" customHeight="1" x14ac:dyDescent="0.45">
      <c r="B605" s="3"/>
    </row>
    <row r="606" spans="2:2" ht="14.25" customHeight="1" x14ac:dyDescent="0.45">
      <c r="B606" s="3"/>
    </row>
    <row r="607" spans="2:2" ht="14.25" customHeight="1" x14ac:dyDescent="0.45">
      <c r="B607" s="3"/>
    </row>
    <row r="608" spans="2:2" ht="14.25" customHeight="1" x14ac:dyDescent="0.45">
      <c r="B608" s="3"/>
    </row>
    <row r="609" spans="2:2" ht="14.25" customHeight="1" x14ac:dyDescent="0.45">
      <c r="B609" s="3"/>
    </row>
    <row r="610" spans="2:2" ht="14.25" customHeight="1" x14ac:dyDescent="0.45">
      <c r="B610" s="3"/>
    </row>
    <row r="611" spans="2:2" ht="14.25" customHeight="1" x14ac:dyDescent="0.45">
      <c r="B611" s="3"/>
    </row>
    <row r="612" spans="2:2" ht="14.25" customHeight="1" x14ac:dyDescent="0.45">
      <c r="B612" s="3"/>
    </row>
    <row r="613" spans="2:2" ht="14.25" customHeight="1" x14ac:dyDescent="0.45">
      <c r="B613" s="3"/>
    </row>
    <row r="614" spans="2:2" ht="14.25" customHeight="1" x14ac:dyDescent="0.45">
      <c r="B614" s="3"/>
    </row>
    <row r="615" spans="2:2" ht="14.25" customHeight="1" x14ac:dyDescent="0.45">
      <c r="B615" s="3"/>
    </row>
    <row r="616" spans="2:2" ht="14.25" customHeight="1" x14ac:dyDescent="0.45">
      <c r="B616" s="3"/>
    </row>
    <row r="617" spans="2:2" ht="14.25" customHeight="1" x14ac:dyDescent="0.45">
      <c r="B617" s="3"/>
    </row>
    <row r="618" spans="2:2" ht="14.25" customHeight="1" x14ac:dyDescent="0.45">
      <c r="B618" s="3"/>
    </row>
    <row r="619" spans="2:2" ht="14.25" customHeight="1" x14ac:dyDescent="0.45">
      <c r="B619" s="3"/>
    </row>
    <row r="620" spans="2:2" ht="14.25" customHeight="1" x14ac:dyDescent="0.45">
      <c r="B620" s="3"/>
    </row>
    <row r="621" spans="2:2" ht="14.25" customHeight="1" x14ac:dyDescent="0.45">
      <c r="B621" s="3"/>
    </row>
    <row r="622" spans="2:2" ht="14.25" customHeight="1" x14ac:dyDescent="0.45">
      <c r="B622" s="3"/>
    </row>
    <row r="623" spans="2:2" ht="14.25" customHeight="1" x14ac:dyDescent="0.45">
      <c r="B623" s="3"/>
    </row>
    <row r="624" spans="2:2" ht="14.25" customHeight="1" x14ac:dyDescent="0.45">
      <c r="B624" s="3"/>
    </row>
    <row r="625" spans="2:2" ht="14.25" customHeight="1" x14ac:dyDescent="0.45">
      <c r="B625" s="3"/>
    </row>
    <row r="626" spans="2:2" ht="14.25" customHeight="1" x14ac:dyDescent="0.45">
      <c r="B626" s="3"/>
    </row>
    <row r="627" spans="2:2" ht="14.25" customHeight="1" x14ac:dyDescent="0.45">
      <c r="B627" s="3"/>
    </row>
    <row r="628" spans="2:2" ht="14.25" customHeight="1" x14ac:dyDescent="0.45">
      <c r="B628" s="3"/>
    </row>
    <row r="629" spans="2:2" ht="14.25" customHeight="1" x14ac:dyDescent="0.45">
      <c r="B629" s="3"/>
    </row>
    <row r="630" spans="2:2" ht="14.25" customHeight="1" x14ac:dyDescent="0.45">
      <c r="B630" s="3"/>
    </row>
    <row r="631" spans="2:2" ht="14.25" customHeight="1" x14ac:dyDescent="0.45">
      <c r="B631" s="3"/>
    </row>
    <row r="632" spans="2:2" ht="14.25" customHeight="1" x14ac:dyDescent="0.45">
      <c r="B632" s="3"/>
    </row>
    <row r="633" spans="2:2" ht="14.25" customHeight="1" x14ac:dyDescent="0.45">
      <c r="B633" s="3"/>
    </row>
    <row r="634" spans="2:2" ht="14.25" customHeight="1" x14ac:dyDescent="0.45">
      <c r="B634" s="3"/>
    </row>
    <row r="635" spans="2:2" ht="14.25" customHeight="1" x14ac:dyDescent="0.45">
      <c r="B635" s="3"/>
    </row>
    <row r="636" spans="2:2" ht="14.25" customHeight="1" x14ac:dyDescent="0.45">
      <c r="B636" s="3"/>
    </row>
    <row r="637" spans="2:2" ht="14.25" customHeight="1" x14ac:dyDescent="0.45">
      <c r="B637" s="3"/>
    </row>
    <row r="638" spans="2:2" ht="14.25" customHeight="1" x14ac:dyDescent="0.45">
      <c r="B638" s="3"/>
    </row>
    <row r="639" spans="2:2" ht="14.25" customHeight="1" x14ac:dyDescent="0.45">
      <c r="B639" s="3"/>
    </row>
    <row r="640" spans="2:2" ht="14.25" customHeight="1" x14ac:dyDescent="0.45">
      <c r="B640" s="3"/>
    </row>
    <row r="641" spans="2:2" ht="14.25" customHeight="1" x14ac:dyDescent="0.45">
      <c r="B641" s="3"/>
    </row>
    <row r="642" spans="2:2" ht="14.25" customHeight="1" x14ac:dyDescent="0.45">
      <c r="B642" s="3"/>
    </row>
    <row r="643" spans="2:2" ht="14.25" customHeight="1" x14ac:dyDescent="0.45">
      <c r="B643" s="3"/>
    </row>
    <row r="644" spans="2:2" ht="14.25" customHeight="1" x14ac:dyDescent="0.45">
      <c r="B644" s="3"/>
    </row>
    <row r="645" spans="2:2" ht="14.25" customHeight="1" x14ac:dyDescent="0.45">
      <c r="B645" s="3"/>
    </row>
    <row r="646" spans="2:2" ht="14.25" customHeight="1" x14ac:dyDescent="0.45">
      <c r="B646" s="3"/>
    </row>
    <row r="647" spans="2:2" ht="14.25" customHeight="1" x14ac:dyDescent="0.45">
      <c r="B647" s="3"/>
    </row>
    <row r="648" spans="2:2" ht="14.25" customHeight="1" x14ac:dyDescent="0.45">
      <c r="B648" s="3"/>
    </row>
    <row r="649" spans="2:2" ht="14.25" customHeight="1" x14ac:dyDescent="0.45">
      <c r="B649" s="3"/>
    </row>
    <row r="650" spans="2:2" ht="14.25" customHeight="1" x14ac:dyDescent="0.45">
      <c r="B650" s="3"/>
    </row>
    <row r="651" spans="2:2" ht="14.25" customHeight="1" x14ac:dyDescent="0.45">
      <c r="B651" s="3"/>
    </row>
    <row r="652" spans="2:2" ht="14.25" customHeight="1" x14ac:dyDescent="0.45">
      <c r="B652" s="3"/>
    </row>
    <row r="653" spans="2:2" ht="14.25" customHeight="1" x14ac:dyDescent="0.45">
      <c r="B653" s="3"/>
    </row>
    <row r="654" spans="2:2" ht="14.25" customHeight="1" x14ac:dyDescent="0.45">
      <c r="B654" s="3"/>
    </row>
    <row r="655" spans="2:2" ht="14.25" customHeight="1" x14ac:dyDescent="0.45">
      <c r="B655" s="3"/>
    </row>
    <row r="656" spans="2:2" ht="14.25" customHeight="1" x14ac:dyDescent="0.45">
      <c r="B656" s="3"/>
    </row>
    <row r="657" spans="2:2" ht="14.25" customHeight="1" x14ac:dyDescent="0.45">
      <c r="B657" s="3"/>
    </row>
    <row r="658" spans="2:2" ht="14.25" customHeight="1" x14ac:dyDescent="0.45">
      <c r="B658" s="3"/>
    </row>
    <row r="659" spans="2:2" ht="14.25" customHeight="1" x14ac:dyDescent="0.45">
      <c r="B659" s="3"/>
    </row>
    <row r="660" spans="2:2" ht="14.25" customHeight="1" x14ac:dyDescent="0.45">
      <c r="B660" s="3"/>
    </row>
    <row r="661" spans="2:2" ht="14.25" customHeight="1" x14ac:dyDescent="0.45">
      <c r="B661" s="3"/>
    </row>
    <row r="662" spans="2:2" ht="14.25" customHeight="1" x14ac:dyDescent="0.45">
      <c r="B662" s="3"/>
    </row>
    <row r="663" spans="2:2" ht="14.25" customHeight="1" x14ac:dyDescent="0.45">
      <c r="B663" s="3"/>
    </row>
    <row r="664" spans="2:2" ht="14.25" customHeight="1" x14ac:dyDescent="0.45">
      <c r="B664" s="3"/>
    </row>
    <row r="665" spans="2:2" ht="14.25" customHeight="1" x14ac:dyDescent="0.45">
      <c r="B665" s="3"/>
    </row>
    <row r="666" spans="2:2" ht="14.25" customHeight="1" x14ac:dyDescent="0.45">
      <c r="B666" s="3"/>
    </row>
    <row r="667" spans="2:2" ht="14.25" customHeight="1" x14ac:dyDescent="0.45">
      <c r="B667" s="3"/>
    </row>
    <row r="668" spans="2:2" ht="14.25" customHeight="1" x14ac:dyDescent="0.45">
      <c r="B668" s="3"/>
    </row>
    <row r="669" spans="2:2" ht="14.25" customHeight="1" x14ac:dyDescent="0.45">
      <c r="B669" s="3"/>
    </row>
    <row r="670" spans="2:2" ht="14.25" customHeight="1" x14ac:dyDescent="0.45">
      <c r="B670" s="3"/>
    </row>
    <row r="671" spans="2:2" ht="14.25" customHeight="1" x14ac:dyDescent="0.45">
      <c r="B671" s="3"/>
    </row>
    <row r="672" spans="2:2" ht="14.25" customHeight="1" x14ac:dyDescent="0.45">
      <c r="B672" s="3"/>
    </row>
    <row r="673" spans="2:2" ht="14.25" customHeight="1" x14ac:dyDescent="0.45">
      <c r="B673" s="3"/>
    </row>
    <row r="674" spans="2:2" ht="14.25" customHeight="1" x14ac:dyDescent="0.45">
      <c r="B674" s="3"/>
    </row>
    <row r="675" spans="2:2" ht="14.25" customHeight="1" x14ac:dyDescent="0.45">
      <c r="B675" s="3"/>
    </row>
    <row r="676" spans="2:2" ht="14.25" customHeight="1" x14ac:dyDescent="0.45">
      <c r="B676" s="3"/>
    </row>
    <row r="677" spans="2:2" ht="14.25" customHeight="1" x14ac:dyDescent="0.45">
      <c r="B677" s="3"/>
    </row>
    <row r="678" spans="2:2" ht="14.25" customHeight="1" x14ac:dyDescent="0.45">
      <c r="B678" s="3"/>
    </row>
    <row r="679" spans="2:2" ht="14.25" customHeight="1" x14ac:dyDescent="0.45">
      <c r="B679" s="3"/>
    </row>
    <row r="680" spans="2:2" ht="14.25" customHeight="1" x14ac:dyDescent="0.45">
      <c r="B680" s="3"/>
    </row>
    <row r="681" spans="2:2" ht="14.25" customHeight="1" x14ac:dyDescent="0.45">
      <c r="B681" s="3"/>
    </row>
    <row r="682" spans="2:2" ht="14.25" customHeight="1" x14ac:dyDescent="0.45">
      <c r="B682" s="3"/>
    </row>
    <row r="683" spans="2:2" ht="14.25" customHeight="1" x14ac:dyDescent="0.45">
      <c r="B683" s="3"/>
    </row>
    <row r="684" spans="2:2" ht="14.25" customHeight="1" x14ac:dyDescent="0.45">
      <c r="B684" s="3"/>
    </row>
    <row r="685" spans="2:2" ht="14.25" customHeight="1" x14ac:dyDescent="0.45">
      <c r="B685" s="3"/>
    </row>
    <row r="686" spans="2:2" ht="14.25" customHeight="1" x14ac:dyDescent="0.45">
      <c r="B686" s="3"/>
    </row>
    <row r="687" spans="2:2" ht="14.25" customHeight="1" x14ac:dyDescent="0.45">
      <c r="B687" s="3"/>
    </row>
    <row r="688" spans="2:2" ht="14.25" customHeight="1" x14ac:dyDescent="0.45">
      <c r="B688" s="3"/>
    </row>
    <row r="689" spans="2:2" ht="14.25" customHeight="1" x14ac:dyDescent="0.45">
      <c r="B689" s="3"/>
    </row>
    <row r="690" spans="2:2" ht="14.25" customHeight="1" x14ac:dyDescent="0.45">
      <c r="B690" s="3"/>
    </row>
    <row r="691" spans="2:2" ht="14.25" customHeight="1" x14ac:dyDescent="0.45">
      <c r="B691" s="3"/>
    </row>
    <row r="692" spans="2:2" ht="14.25" customHeight="1" x14ac:dyDescent="0.45">
      <c r="B692" s="3"/>
    </row>
    <row r="693" spans="2:2" ht="14.25" customHeight="1" x14ac:dyDescent="0.45">
      <c r="B693" s="3"/>
    </row>
    <row r="694" spans="2:2" ht="14.25" customHeight="1" x14ac:dyDescent="0.45">
      <c r="B694" s="3"/>
    </row>
    <row r="695" spans="2:2" ht="14.25" customHeight="1" x14ac:dyDescent="0.45">
      <c r="B695" s="3"/>
    </row>
    <row r="696" spans="2:2" ht="14.25" customHeight="1" x14ac:dyDescent="0.45">
      <c r="B696" s="3"/>
    </row>
    <row r="697" spans="2:2" ht="14.25" customHeight="1" x14ac:dyDescent="0.45">
      <c r="B697" s="3"/>
    </row>
    <row r="698" spans="2:2" ht="14.25" customHeight="1" x14ac:dyDescent="0.45">
      <c r="B698" s="3"/>
    </row>
    <row r="699" spans="2:2" ht="14.25" customHeight="1" x14ac:dyDescent="0.45">
      <c r="B699" s="3"/>
    </row>
    <row r="700" spans="2:2" ht="14.25" customHeight="1" x14ac:dyDescent="0.45">
      <c r="B700" s="3"/>
    </row>
    <row r="701" spans="2:2" ht="14.25" customHeight="1" x14ac:dyDescent="0.45">
      <c r="B701" s="3"/>
    </row>
    <row r="702" spans="2:2" ht="14.25" customHeight="1" x14ac:dyDescent="0.45">
      <c r="B702" s="3"/>
    </row>
    <row r="703" spans="2:2" ht="14.25" customHeight="1" x14ac:dyDescent="0.45">
      <c r="B703" s="3"/>
    </row>
    <row r="704" spans="2:2" ht="14.25" customHeight="1" x14ac:dyDescent="0.45">
      <c r="B704" s="3"/>
    </row>
    <row r="705" spans="2:2" ht="14.25" customHeight="1" x14ac:dyDescent="0.45">
      <c r="B705" s="3"/>
    </row>
    <row r="706" spans="2:2" ht="14.25" customHeight="1" x14ac:dyDescent="0.45">
      <c r="B706" s="3"/>
    </row>
    <row r="707" spans="2:2" ht="14.25" customHeight="1" x14ac:dyDescent="0.45">
      <c r="B707" s="3"/>
    </row>
    <row r="708" spans="2:2" ht="14.25" customHeight="1" x14ac:dyDescent="0.45">
      <c r="B708" s="3"/>
    </row>
    <row r="709" spans="2:2" ht="14.25" customHeight="1" x14ac:dyDescent="0.45">
      <c r="B709" s="3"/>
    </row>
    <row r="710" spans="2:2" ht="14.25" customHeight="1" x14ac:dyDescent="0.45">
      <c r="B710" s="3"/>
    </row>
    <row r="711" spans="2:2" ht="14.25" customHeight="1" x14ac:dyDescent="0.45">
      <c r="B711" s="3"/>
    </row>
    <row r="712" spans="2:2" ht="14.25" customHeight="1" x14ac:dyDescent="0.45">
      <c r="B712" s="3"/>
    </row>
    <row r="713" spans="2:2" ht="14.25" customHeight="1" x14ac:dyDescent="0.45">
      <c r="B713" s="3"/>
    </row>
    <row r="714" spans="2:2" ht="14.25" customHeight="1" x14ac:dyDescent="0.45">
      <c r="B714" s="3"/>
    </row>
    <row r="715" spans="2:2" ht="14.25" customHeight="1" x14ac:dyDescent="0.45">
      <c r="B715" s="3"/>
    </row>
    <row r="716" spans="2:2" ht="14.25" customHeight="1" x14ac:dyDescent="0.45">
      <c r="B716" s="3"/>
    </row>
    <row r="717" spans="2:2" ht="14.25" customHeight="1" x14ac:dyDescent="0.45">
      <c r="B717" s="3"/>
    </row>
    <row r="718" spans="2:2" ht="14.25" customHeight="1" x14ac:dyDescent="0.45">
      <c r="B718" s="3"/>
    </row>
    <row r="719" spans="2:2" ht="14.25" customHeight="1" x14ac:dyDescent="0.45">
      <c r="B719" s="3"/>
    </row>
    <row r="720" spans="2:2" ht="14.25" customHeight="1" x14ac:dyDescent="0.45">
      <c r="B720" s="3"/>
    </row>
    <row r="721" spans="2:2" ht="14.25" customHeight="1" x14ac:dyDescent="0.45">
      <c r="B721" s="3"/>
    </row>
    <row r="722" spans="2:2" ht="14.25" customHeight="1" x14ac:dyDescent="0.45">
      <c r="B722" s="3"/>
    </row>
    <row r="723" spans="2:2" ht="14.25" customHeight="1" x14ac:dyDescent="0.45">
      <c r="B723" s="3"/>
    </row>
    <row r="724" spans="2:2" ht="14.25" customHeight="1" x14ac:dyDescent="0.45">
      <c r="B724" s="3"/>
    </row>
    <row r="725" spans="2:2" ht="14.25" customHeight="1" x14ac:dyDescent="0.45">
      <c r="B725" s="3"/>
    </row>
    <row r="726" spans="2:2" ht="14.25" customHeight="1" x14ac:dyDescent="0.45">
      <c r="B726" s="3"/>
    </row>
    <row r="727" spans="2:2" ht="14.25" customHeight="1" x14ac:dyDescent="0.45">
      <c r="B727" s="3"/>
    </row>
    <row r="728" spans="2:2" ht="14.25" customHeight="1" x14ac:dyDescent="0.45">
      <c r="B728" s="3"/>
    </row>
    <row r="729" spans="2:2" ht="14.25" customHeight="1" x14ac:dyDescent="0.45">
      <c r="B729" s="3"/>
    </row>
    <row r="730" spans="2:2" ht="14.25" customHeight="1" x14ac:dyDescent="0.45">
      <c r="B730" s="3"/>
    </row>
    <row r="731" spans="2:2" ht="14.25" customHeight="1" x14ac:dyDescent="0.45">
      <c r="B731" s="3"/>
    </row>
    <row r="732" spans="2:2" ht="14.25" customHeight="1" x14ac:dyDescent="0.45">
      <c r="B732" s="3"/>
    </row>
    <row r="733" spans="2:2" ht="14.25" customHeight="1" x14ac:dyDescent="0.45">
      <c r="B733" s="3"/>
    </row>
    <row r="734" spans="2:2" ht="14.25" customHeight="1" x14ac:dyDescent="0.45">
      <c r="B734" s="3"/>
    </row>
    <row r="735" spans="2:2" ht="14.25" customHeight="1" x14ac:dyDescent="0.45">
      <c r="B735" s="3"/>
    </row>
    <row r="736" spans="2:2" ht="14.25" customHeight="1" x14ac:dyDescent="0.45">
      <c r="B736" s="3"/>
    </row>
    <row r="737" spans="2:2" ht="14.25" customHeight="1" x14ac:dyDescent="0.45">
      <c r="B737" s="3"/>
    </row>
    <row r="738" spans="2:2" ht="14.25" customHeight="1" x14ac:dyDescent="0.45">
      <c r="B738" s="3"/>
    </row>
    <row r="739" spans="2:2" ht="14.25" customHeight="1" x14ac:dyDescent="0.45">
      <c r="B739" s="3"/>
    </row>
    <row r="740" spans="2:2" ht="14.25" customHeight="1" x14ac:dyDescent="0.45">
      <c r="B740" s="3"/>
    </row>
    <row r="741" spans="2:2" ht="14.25" customHeight="1" x14ac:dyDescent="0.45">
      <c r="B741" s="3"/>
    </row>
    <row r="742" spans="2:2" ht="14.25" customHeight="1" x14ac:dyDescent="0.45">
      <c r="B742" s="3"/>
    </row>
    <row r="743" spans="2:2" ht="14.25" customHeight="1" x14ac:dyDescent="0.45">
      <c r="B743" s="3"/>
    </row>
    <row r="744" spans="2:2" ht="14.25" customHeight="1" x14ac:dyDescent="0.45">
      <c r="B744" s="3"/>
    </row>
    <row r="745" spans="2:2" ht="14.25" customHeight="1" x14ac:dyDescent="0.45">
      <c r="B745" s="3"/>
    </row>
    <row r="746" spans="2:2" ht="14.25" customHeight="1" x14ac:dyDescent="0.45">
      <c r="B746" s="3"/>
    </row>
    <row r="747" spans="2:2" ht="14.25" customHeight="1" x14ac:dyDescent="0.45">
      <c r="B747" s="3"/>
    </row>
    <row r="748" spans="2:2" ht="14.25" customHeight="1" x14ac:dyDescent="0.45">
      <c r="B748" s="3"/>
    </row>
    <row r="749" spans="2:2" ht="14.25" customHeight="1" x14ac:dyDescent="0.45">
      <c r="B749" s="3"/>
    </row>
    <row r="750" spans="2:2" ht="14.25" customHeight="1" x14ac:dyDescent="0.45">
      <c r="B750" s="3"/>
    </row>
    <row r="751" spans="2:2" ht="14.25" customHeight="1" x14ac:dyDescent="0.45">
      <c r="B751" s="3"/>
    </row>
    <row r="752" spans="2:2" ht="14.25" customHeight="1" x14ac:dyDescent="0.45">
      <c r="B752" s="3"/>
    </row>
    <row r="753" spans="2:2" ht="14.25" customHeight="1" x14ac:dyDescent="0.45">
      <c r="B753" s="3"/>
    </row>
    <row r="754" spans="2:2" ht="14.25" customHeight="1" x14ac:dyDescent="0.45">
      <c r="B754" s="3"/>
    </row>
    <row r="755" spans="2:2" ht="14.25" customHeight="1" x14ac:dyDescent="0.45">
      <c r="B755" s="3"/>
    </row>
    <row r="756" spans="2:2" ht="14.25" customHeight="1" x14ac:dyDescent="0.45">
      <c r="B756" s="3"/>
    </row>
    <row r="757" spans="2:2" ht="14.25" customHeight="1" x14ac:dyDescent="0.45">
      <c r="B757" s="3"/>
    </row>
    <row r="758" spans="2:2" ht="14.25" customHeight="1" x14ac:dyDescent="0.45">
      <c r="B758" s="3"/>
    </row>
    <row r="759" spans="2:2" ht="14.25" customHeight="1" x14ac:dyDescent="0.45">
      <c r="B759" s="3"/>
    </row>
    <row r="760" spans="2:2" ht="14.25" customHeight="1" x14ac:dyDescent="0.45">
      <c r="B760" s="3"/>
    </row>
    <row r="761" spans="2:2" ht="14.25" customHeight="1" x14ac:dyDescent="0.45">
      <c r="B761" s="3"/>
    </row>
    <row r="762" spans="2:2" ht="14.25" customHeight="1" x14ac:dyDescent="0.45">
      <c r="B762" s="3"/>
    </row>
    <row r="763" spans="2:2" ht="14.25" customHeight="1" x14ac:dyDescent="0.45">
      <c r="B763" s="3"/>
    </row>
    <row r="764" spans="2:2" ht="14.25" customHeight="1" x14ac:dyDescent="0.45">
      <c r="B764" s="3"/>
    </row>
    <row r="765" spans="2:2" ht="14.25" customHeight="1" x14ac:dyDescent="0.45">
      <c r="B765" s="3"/>
    </row>
    <row r="766" spans="2:2" ht="14.25" customHeight="1" x14ac:dyDescent="0.45">
      <c r="B766" s="3"/>
    </row>
    <row r="767" spans="2:2" ht="14.25" customHeight="1" x14ac:dyDescent="0.45">
      <c r="B767" s="3"/>
    </row>
    <row r="768" spans="2:2" ht="14.25" customHeight="1" x14ac:dyDescent="0.45">
      <c r="B768" s="3"/>
    </row>
    <row r="769" spans="2:2" ht="14.25" customHeight="1" x14ac:dyDescent="0.45">
      <c r="B769" s="3"/>
    </row>
    <row r="770" spans="2:2" ht="14.25" customHeight="1" x14ac:dyDescent="0.45">
      <c r="B770" s="3"/>
    </row>
    <row r="771" spans="2:2" ht="14.25" customHeight="1" x14ac:dyDescent="0.45">
      <c r="B771" s="3"/>
    </row>
    <row r="772" spans="2:2" ht="14.25" customHeight="1" x14ac:dyDescent="0.45">
      <c r="B772" s="3"/>
    </row>
    <row r="773" spans="2:2" ht="14.25" customHeight="1" x14ac:dyDescent="0.45">
      <c r="B773" s="3"/>
    </row>
    <row r="774" spans="2:2" ht="14.25" customHeight="1" x14ac:dyDescent="0.45">
      <c r="B774" s="3"/>
    </row>
    <row r="775" spans="2:2" ht="14.25" customHeight="1" x14ac:dyDescent="0.45">
      <c r="B775" s="3"/>
    </row>
    <row r="776" spans="2:2" ht="14.25" customHeight="1" x14ac:dyDescent="0.45">
      <c r="B776" s="3"/>
    </row>
    <row r="777" spans="2:2" ht="14.25" customHeight="1" x14ac:dyDescent="0.45">
      <c r="B777" s="3"/>
    </row>
    <row r="778" spans="2:2" ht="14.25" customHeight="1" x14ac:dyDescent="0.45">
      <c r="B778" s="3"/>
    </row>
    <row r="779" spans="2:2" ht="14.25" customHeight="1" x14ac:dyDescent="0.45">
      <c r="B779" s="3"/>
    </row>
    <row r="780" spans="2:2" ht="14.25" customHeight="1" x14ac:dyDescent="0.45">
      <c r="B780" s="3"/>
    </row>
    <row r="781" spans="2:2" ht="14.25" customHeight="1" x14ac:dyDescent="0.45">
      <c r="B781" s="3"/>
    </row>
    <row r="782" spans="2:2" ht="14.25" customHeight="1" x14ac:dyDescent="0.45">
      <c r="B782" s="3"/>
    </row>
    <row r="783" spans="2:2" ht="14.25" customHeight="1" x14ac:dyDescent="0.45">
      <c r="B783" s="3"/>
    </row>
    <row r="784" spans="2:2" ht="14.25" customHeight="1" x14ac:dyDescent="0.45">
      <c r="B784" s="3"/>
    </row>
    <row r="785" spans="2:2" ht="14.25" customHeight="1" x14ac:dyDescent="0.45">
      <c r="B785" s="3"/>
    </row>
    <row r="786" spans="2:2" ht="14.25" customHeight="1" x14ac:dyDescent="0.45">
      <c r="B786" s="3"/>
    </row>
    <row r="787" spans="2:2" ht="14.25" customHeight="1" x14ac:dyDescent="0.45">
      <c r="B787" s="3"/>
    </row>
    <row r="788" spans="2:2" ht="14.25" customHeight="1" x14ac:dyDescent="0.45">
      <c r="B788" s="3"/>
    </row>
    <row r="789" spans="2:2" ht="14.25" customHeight="1" x14ac:dyDescent="0.45">
      <c r="B789" s="3"/>
    </row>
    <row r="790" spans="2:2" ht="14.25" customHeight="1" x14ac:dyDescent="0.45">
      <c r="B790" s="3"/>
    </row>
    <row r="791" spans="2:2" ht="14.25" customHeight="1" x14ac:dyDescent="0.45">
      <c r="B791" s="3"/>
    </row>
    <row r="792" spans="2:2" ht="14.25" customHeight="1" x14ac:dyDescent="0.45">
      <c r="B792" s="3"/>
    </row>
    <row r="793" spans="2:2" ht="14.25" customHeight="1" x14ac:dyDescent="0.45">
      <c r="B793" s="3"/>
    </row>
    <row r="794" spans="2:2" ht="14.25" customHeight="1" x14ac:dyDescent="0.45">
      <c r="B794" s="3"/>
    </row>
    <row r="795" spans="2:2" ht="14.25" customHeight="1" x14ac:dyDescent="0.45">
      <c r="B795" s="3"/>
    </row>
    <row r="796" spans="2:2" ht="14.25" customHeight="1" x14ac:dyDescent="0.45">
      <c r="B796" s="3"/>
    </row>
    <row r="797" spans="2:2" ht="14.25" customHeight="1" x14ac:dyDescent="0.45">
      <c r="B797" s="3"/>
    </row>
    <row r="798" spans="2:2" ht="14.25" customHeight="1" x14ac:dyDescent="0.45">
      <c r="B798" s="3"/>
    </row>
    <row r="799" spans="2:2" ht="14.25" customHeight="1" x14ac:dyDescent="0.45">
      <c r="B799" s="3"/>
    </row>
    <row r="800" spans="2:2" ht="14.25" customHeight="1" x14ac:dyDescent="0.45">
      <c r="B800" s="3"/>
    </row>
    <row r="801" spans="2:2" ht="14.25" customHeight="1" x14ac:dyDescent="0.45">
      <c r="B801" s="3"/>
    </row>
    <row r="802" spans="2:2" ht="14.25" customHeight="1" x14ac:dyDescent="0.45">
      <c r="B802" s="3"/>
    </row>
    <row r="803" spans="2:2" ht="14.25" customHeight="1" x14ac:dyDescent="0.45">
      <c r="B803" s="3"/>
    </row>
    <row r="804" spans="2:2" ht="14.25" customHeight="1" x14ac:dyDescent="0.45">
      <c r="B804" s="3"/>
    </row>
    <row r="805" spans="2:2" ht="14.25" customHeight="1" x14ac:dyDescent="0.45">
      <c r="B805" s="3"/>
    </row>
    <row r="806" spans="2:2" ht="14.25" customHeight="1" x14ac:dyDescent="0.45">
      <c r="B806" s="3"/>
    </row>
    <row r="807" spans="2:2" ht="14.25" customHeight="1" x14ac:dyDescent="0.45">
      <c r="B807" s="3"/>
    </row>
    <row r="808" spans="2:2" ht="14.25" customHeight="1" x14ac:dyDescent="0.45">
      <c r="B808" s="3"/>
    </row>
    <row r="809" spans="2:2" ht="14.25" customHeight="1" x14ac:dyDescent="0.45">
      <c r="B809" s="3"/>
    </row>
    <row r="810" spans="2:2" ht="14.25" customHeight="1" x14ac:dyDescent="0.45">
      <c r="B810" s="3"/>
    </row>
    <row r="811" spans="2:2" ht="14.25" customHeight="1" x14ac:dyDescent="0.45">
      <c r="B811" s="3"/>
    </row>
    <row r="812" spans="2:2" ht="14.25" customHeight="1" x14ac:dyDescent="0.45">
      <c r="B812" s="3"/>
    </row>
    <row r="813" spans="2:2" ht="14.25" customHeight="1" x14ac:dyDescent="0.45">
      <c r="B813" s="3"/>
    </row>
    <row r="814" spans="2:2" ht="14.25" customHeight="1" x14ac:dyDescent="0.45">
      <c r="B814" s="3"/>
    </row>
    <row r="815" spans="2:2" ht="14.25" customHeight="1" x14ac:dyDescent="0.45">
      <c r="B815" s="3"/>
    </row>
    <row r="816" spans="2:2" ht="14.25" customHeight="1" x14ac:dyDescent="0.45">
      <c r="B816" s="3"/>
    </row>
    <row r="817" spans="2:2" ht="14.25" customHeight="1" x14ac:dyDescent="0.45">
      <c r="B817" s="3"/>
    </row>
    <row r="818" spans="2:2" ht="14.25" customHeight="1" x14ac:dyDescent="0.45">
      <c r="B818" s="3"/>
    </row>
    <row r="819" spans="2:2" ht="14.25" customHeight="1" x14ac:dyDescent="0.45">
      <c r="B819" s="3"/>
    </row>
    <row r="820" spans="2:2" ht="14.25" customHeight="1" x14ac:dyDescent="0.45">
      <c r="B820" s="3"/>
    </row>
    <row r="821" spans="2:2" ht="14.25" customHeight="1" x14ac:dyDescent="0.45">
      <c r="B821" s="3"/>
    </row>
    <row r="822" spans="2:2" ht="14.25" customHeight="1" x14ac:dyDescent="0.45">
      <c r="B822" s="3"/>
    </row>
    <row r="823" spans="2:2" ht="14.25" customHeight="1" x14ac:dyDescent="0.45">
      <c r="B823" s="3"/>
    </row>
    <row r="824" spans="2:2" ht="14.25" customHeight="1" x14ac:dyDescent="0.45">
      <c r="B824" s="3"/>
    </row>
    <row r="825" spans="2:2" ht="14.25" customHeight="1" x14ac:dyDescent="0.45">
      <c r="B825" s="3"/>
    </row>
    <row r="826" spans="2:2" ht="14.25" customHeight="1" x14ac:dyDescent="0.45">
      <c r="B826" s="3"/>
    </row>
    <row r="827" spans="2:2" ht="14.25" customHeight="1" x14ac:dyDescent="0.45">
      <c r="B827" s="3"/>
    </row>
    <row r="828" spans="2:2" ht="14.25" customHeight="1" x14ac:dyDescent="0.45">
      <c r="B828" s="3"/>
    </row>
    <row r="829" spans="2:2" ht="14.25" customHeight="1" x14ac:dyDescent="0.45">
      <c r="B829" s="3"/>
    </row>
    <row r="830" spans="2:2" ht="14.25" customHeight="1" x14ac:dyDescent="0.45">
      <c r="B830" s="3"/>
    </row>
    <row r="831" spans="2:2" ht="14.25" customHeight="1" x14ac:dyDescent="0.45">
      <c r="B831" s="3"/>
    </row>
    <row r="832" spans="2:2" ht="14.25" customHeight="1" x14ac:dyDescent="0.45">
      <c r="B832" s="3"/>
    </row>
    <row r="833" spans="2:2" ht="14.25" customHeight="1" x14ac:dyDescent="0.45">
      <c r="B833" s="3"/>
    </row>
    <row r="834" spans="2:2" ht="14.25" customHeight="1" x14ac:dyDescent="0.45">
      <c r="B834" s="3"/>
    </row>
    <row r="835" spans="2:2" ht="14.25" customHeight="1" x14ac:dyDescent="0.45">
      <c r="B835" s="3"/>
    </row>
    <row r="836" spans="2:2" ht="14.25" customHeight="1" x14ac:dyDescent="0.45">
      <c r="B836" s="3"/>
    </row>
    <row r="837" spans="2:2" ht="14.25" customHeight="1" x14ac:dyDescent="0.45">
      <c r="B837" s="3"/>
    </row>
    <row r="838" spans="2:2" ht="14.25" customHeight="1" x14ac:dyDescent="0.45">
      <c r="B838" s="3"/>
    </row>
    <row r="839" spans="2:2" ht="14.25" customHeight="1" x14ac:dyDescent="0.45">
      <c r="B839" s="3"/>
    </row>
    <row r="840" spans="2:2" ht="14.25" customHeight="1" x14ac:dyDescent="0.45">
      <c r="B840" s="3"/>
    </row>
    <row r="841" spans="2:2" ht="14.25" customHeight="1" x14ac:dyDescent="0.45">
      <c r="B841" s="3"/>
    </row>
    <row r="842" spans="2:2" ht="14.25" customHeight="1" x14ac:dyDescent="0.45">
      <c r="B842" s="3"/>
    </row>
    <row r="843" spans="2:2" ht="14.25" customHeight="1" x14ac:dyDescent="0.45">
      <c r="B843" s="3"/>
    </row>
    <row r="844" spans="2:2" ht="14.25" customHeight="1" x14ac:dyDescent="0.45">
      <c r="B844" s="3"/>
    </row>
    <row r="845" spans="2:2" ht="14.25" customHeight="1" x14ac:dyDescent="0.45">
      <c r="B845" s="3"/>
    </row>
    <row r="846" spans="2:2" ht="14.25" customHeight="1" x14ac:dyDescent="0.45">
      <c r="B846" s="3"/>
    </row>
    <row r="847" spans="2:2" ht="14.25" customHeight="1" x14ac:dyDescent="0.45">
      <c r="B847" s="3"/>
    </row>
    <row r="848" spans="2:2" ht="14.25" customHeight="1" x14ac:dyDescent="0.45">
      <c r="B848" s="3"/>
    </row>
    <row r="849" spans="2:2" ht="14.25" customHeight="1" x14ac:dyDescent="0.45">
      <c r="B849" s="3"/>
    </row>
    <row r="850" spans="2:2" ht="14.25" customHeight="1" x14ac:dyDescent="0.45">
      <c r="B850" s="3"/>
    </row>
    <row r="851" spans="2:2" ht="14.25" customHeight="1" x14ac:dyDescent="0.45">
      <c r="B851" s="3"/>
    </row>
    <row r="852" spans="2:2" ht="14.25" customHeight="1" x14ac:dyDescent="0.45">
      <c r="B852" s="3"/>
    </row>
    <row r="853" spans="2:2" ht="14.25" customHeight="1" x14ac:dyDescent="0.45">
      <c r="B853" s="3"/>
    </row>
    <row r="854" spans="2:2" ht="14.25" customHeight="1" x14ac:dyDescent="0.45">
      <c r="B854" s="3"/>
    </row>
    <row r="855" spans="2:2" ht="14.25" customHeight="1" x14ac:dyDescent="0.45">
      <c r="B855" s="3"/>
    </row>
    <row r="856" spans="2:2" ht="14.25" customHeight="1" x14ac:dyDescent="0.45">
      <c r="B856" s="3"/>
    </row>
    <row r="857" spans="2:2" ht="14.25" customHeight="1" x14ac:dyDescent="0.45">
      <c r="B857" s="3"/>
    </row>
    <row r="858" spans="2:2" ht="14.25" customHeight="1" x14ac:dyDescent="0.45">
      <c r="B858" s="3"/>
    </row>
    <row r="859" spans="2:2" ht="14.25" customHeight="1" x14ac:dyDescent="0.45">
      <c r="B859" s="3"/>
    </row>
    <row r="860" spans="2:2" ht="14.25" customHeight="1" x14ac:dyDescent="0.45">
      <c r="B860" s="3"/>
    </row>
    <row r="861" spans="2:2" ht="14.25" customHeight="1" x14ac:dyDescent="0.45">
      <c r="B861" s="3"/>
    </row>
    <row r="862" spans="2:2" ht="14.25" customHeight="1" x14ac:dyDescent="0.45">
      <c r="B862" s="3"/>
    </row>
    <row r="863" spans="2:2" ht="14.25" customHeight="1" x14ac:dyDescent="0.45">
      <c r="B863" s="3"/>
    </row>
    <row r="864" spans="2:2" ht="14.25" customHeight="1" x14ac:dyDescent="0.45">
      <c r="B864" s="3"/>
    </row>
    <row r="865" spans="2:2" ht="14.25" customHeight="1" x14ac:dyDescent="0.45">
      <c r="B865" s="3"/>
    </row>
    <row r="866" spans="2:2" ht="14.25" customHeight="1" x14ac:dyDescent="0.45">
      <c r="B866" s="3"/>
    </row>
    <row r="867" spans="2:2" ht="14.25" customHeight="1" x14ac:dyDescent="0.45">
      <c r="B867" s="3"/>
    </row>
    <row r="868" spans="2:2" ht="14.25" customHeight="1" x14ac:dyDescent="0.45">
      <c r="B868" s="3"/>
    </row>
    <row r="869" spans="2:2" ht="14.25" customHeight="1" x14ac:dyDescent="0.45">
      <c r="B869" s="3"/>
    </row>
    <row r="870" spans="2:2" ht="14.25" customHeight="1" x14ac:dyDescent="0.45">
      <c r="B870" s="3"/>
    </row>
    <row r="871" spans="2:2" ht="14.25" customHeight="1" x14ac:dyDescent="0.45">
      <c r="B871" s="3"/>
    </row>
    <row r="872" spans="2:2" ht="14.25" customHeight="1" x14ac:dyDescent="0.45">
      <c r="B872" s="3"/>
    </row>
    <row r="873" spans="2:2" ht="14.25" customHeight="1" x14ac:dyDescent="0.45">
      <c r="B873" s="3"/>
    </row>
    <row r="874" spans="2:2" ht="14.25" customHeight="1" x14ac:dyDescent="0.45">
      <c r="B874" s="3"/>
    </row>
    <row r="875" spans="2:2" ht="14.25" customHeight="1" x14ac:dyDescent="0.45">
      <c r="B875" s="3"/>
    </row>
    <row r="876" spans="2:2" ht="14.25" customHeight="1" x14ac:dyDescent="0.45">
      <c r="B876" s="3"/>
    </row>
    <row r="877" spans="2:2" ht="14.25" customHeight="1" x14ac:dyDescent="0.45">
      <c r="B877" s="3"/>
    </row>
    <row r="878" spans="2:2" ht="14.25" customHeight="1" x14ac:dyDescent="0.45">
      <c r="B878" s="3"/>
    </row>
    <row r="879" spans="2:2" ht="14.25" customHeight="1" x14ac:dyDescent="0.45">
      <c r="B879" s="3"/>
    </row>
    <row r="880" spans="2:2" ht="14.25" customHeight="1" x14ac:dyDescent="0.45">
      <c r="B880" s="3"/>
    </row>
    <row r="881" spans="2:2" ht="14.25" customHeight="1" x14ac:dyDescent="0.45">
      <c r="B881" s="3"/>
    </row>
    <row r="882" spans="2:2" ht="14.25" customHeight="1" x14ac:dyDescent="0.45">
      <c r="B882" s="3"/>
    </row>
    <row r="883" spans="2:2" ht="14.25" customHeight="1" x14ac:dyDescent="0.45">
      <c r="B883" s="3"/>
    </row>
    <row r="884" spans="2:2" ht="14.25" customHeight="1" x14ac:dyDescent="0.45">
      <c r="B884" s="3"/>
    </row>
    <row r="885" spans="2:2" ht="14.25" customHeight="1" x14ac:dyDescent="0.45">
      <c r="B885" s="3"/>
    </row>
    <row r="886" spans="2:2" ht="14.25" customHeight="1" x14ac:dyDescent="0.45">
      <c r="B886" s="3"/>
    </row>
    <row r="887" spans="2:2" ht="14.25" customHeight="1" x14ac:dyDescent="0.45">
      <c r="B887" s="3"/>
    </row>
    <row r="888" spans="2:2" ht="14.25" customHeight="1" x14ac:dyDescent="0.45">
      <c r="B888" s="3"/>
    </row>
    <row r="889" spans="2:2" ht="14.25" customHeight="1" x14ac:dyDescent="0.45">
      <c r="B889" s="3"/>
    </row>
    <row r="890" spans="2:2" ht="14.25" customHeight="1" x14ac:dyDescent="0.45">
      <c r="B890" s="3"/>
    </row>
    <row r="891" spans="2:2" ht="14.25" customHeight="1" x14ac:dyDescent="0.45">
      <c r="B891" s="3"/>
    </row>
    <row r="892" spans="2:2" ht="14.25" customHeight="1" x14ac:dyDescent="0.45">
      <c r="B892" s="3"/>
    </row>
    <row r="893" spans="2:2" ht="14.25" customHeight="1" x14ac:dyDescent="0.45">
      <c r="B893" s="3"/>
    </row>
    <row r="894" spans="2:2" ht="14.25" customHeight="1" x14ac:dyDescent="0.45">
      <c r="B894" s="3"/>
    </row>
    <row r="895" spans="2:2" ht="14.25" customHeight="1" x14ac:dyDescent="0.45">
      <c r="B895" s="3"/>
    </row>
    <row r="896" spans="2:2" ht="14.25" customHeight="1" x14ac:dyDescent="0.45">
      <c r="B896" s="3"/>
    </row>
    <row r="897" spans="2:2" ht="14.25" customHeight="1" x14ac:dyDescent="0.45">
      <c r="B897" s="3"/>
    </row>
    <row r="898" spans="2:2" ht="14.25" customHeight="1" x14ac:dyDescent="0.45">
      <c r="B898" s="3"/>
    </row>
    <row r="899" spans="2:2" ht="14.25" customHeight="1" x14ac:dyDescent="0.45">
      <c r="B899" s="3"/>
    </row>
    <row r="900" spans="2:2" ht="14.25" customHeight="1" x14ac:dyDescent="0.45">
      <c r="B900" s="3"/>
    </row>
    <row r="901" spans="2:2" ht="14.25" customHeight="1" x14ac:dyDescent="0.45">
      <c r="B901" s="3"/>
    </row>
    <row r="902" spans="2:2" ht="14.25" customHeight="1" x14ac:dyDescent="0.45">
      <c r="B902" s="3"/>
    </row>
    <row r="903" spans="2:2" ht="14.25" customHeight="1" x14ac:dyDescent="0.45">
      <c r="B903" s="3"/>
    </row>
    <row r="904" spans="2:2" ht="14.25" customHeight="1" x14ac:dyDescent="0.45">
      <c r="B904" s="3"/>
    </row>
    <row r="905" spans="2:2" ht="14.25" customHeight="1" x14ac:dyDescent="0.45">
      <c r="B905" s="3"/>
    </row>
    <row r="906" spans="2:2" ht="14.25" customHeight="1" x14ac:dyDescent="0.45">
      <c r="B906" s="3"/>
    </row>
    <row r="907" spans="2:2" ht="14.25" customHeight="1" x14ac:dyDescent="0.45">
      <c r="B907" s="3"/>
    </row>
    <row r="908" spans="2:2" ht="14.25" customHeight="1" x14ac:dyDescent="0.45">
      <c r="B908" s="3"/>
    </row>
    <row r="909" spans="2:2" ht="14.25" customHeight="1" x14ac:dyDescent="0.45">
      <c r="B909" s="3"/>
    </row>
    <row r="910" spans="2:2" ht="14.25" customHeight="1" x14ac:dyDescent="0.45">
      <c r="B910" s="3"/>
    </row>
    <row r="911" spans="2:2" ht="14.25" customHeight="1" x14ac:dyDescent="0.45">
      <c r="B911" s="3"/>
    </row>
    <row r="912" spans="2:2" ht="14.25" customHeight="1" x14ac:dyDescent="0.45">
      <c r="B912" s="3"/>
    </row>
    <row r="913" spans="2:2" ht="14.25" customHeight="1" x14ac:dyDescent="0.45">
      <c r="B913" s="3"/>
    </row>
    <row r="914" spans="2:2" ht="14.25" customHeight="1" x14ac:dyDescent="0.45">
      <c r="B914" s="3"/>
    </row>
    <row r="915" spans="2:2" ht="14.25" customHeight="1" x14ac:dyDescent="0.45">
      <c r="B915" s="3"/>
    </row>
    <row r="916" spans="2:2" ht="14.25" customHeight="1" x14ac:dyDescent="0.45">
      <c r="B916" s="3"/>
    </row>
    <row r="917" spans="2:2" ht="14.25" customHeight="1" x14ac:dyDescent="0.45">
      <c r="B917" s="3"/>
    </row>
    <row r="918" spans="2:2" ht="14.25" customHeight="1" x14ac:dyDescent="0.45">
      <c r="B918" s="3"/>
    </row>
    <row r="919" spans="2:2" ht="14.25" customHeight="1" x14ac:dyDescent="0.45">
      <c r="B919" s="3"/>
    </row>
    <row r="920" spans="2:2" ht="14.25" customHeight="1" x14ac:dyDescent="0.45">
      <c r="B920" s="3"/>
    </row>
    <row r="921" spans="2:2" ht="14.25" customHeight="1" x14ac:dyDescent="0.45">
      <c r="B921" s="3"/>
    </row>
    <row r="922" spans="2:2" ht="14.25" customHeight="1" x14ac:dyDescent="0.45">
      <c r="B922" s="3"/>
    </row>
    <row r="923" spans="2:2" ht="14.25" customHeight="1" x14ac:dyDescent="0.45">
      <c r="B923" s="3"/>
    </row>
    <row r="924" spans="2:2" ht="14.25" customHeight="1" x14ac:dyDescent="0.45">
      <c r="B924" s="3"/>
    </row>
    <row r="925" spans="2:2" ht="14.25" customHeight="1" x14ac:dyDescent="0.45">
      <c r="B925" s="3"/>
    </row>
    <row r="926" spans="2:2" ht="14.25" customHeight="1" x14ac:dyDescent="0.45">
      <c r="B926" s="3"/>
    </row>
    <row r="927" spans="2:2" ht="14.25" customHeight="1" x14ac:dyDescent="0.45">
      <c r="B927" s="3"/>
    </row>
    <row r="928" spans="2:2" ht="14.25" customHeight="1" x14ac:dyDescent="0.45">
      <c r="B928" s="3"/>
    </row>
    <row r="929" spans="2:2" ht="14.25" customHeight="1" x14ac:dyDescent="0.45">
      <c r="B929" s="3"/>
    </row>
    <row r="930" spans="2:2" ht="14.25" customHeight="1" x14ac:dyDescent="0.45">
      <c r="B930" s="3"/>
    </row>
    <row r="931" spans="2:2" ht="14.25" customHeight="1" x14ac:dyDescent="0.45">
      <c r="B931" s="3"/>
    </row>
    <row r="932" spans="2:2" ht="14.25" customHeight="1" x14ac:dyDescent="0.45">
      <c r="B932" s="3"/>
    </row>
    <row r="933" spans="2:2" ht="14.25" customHeight="1" x14ac:dyDescent="0.45">
      <c r="B933" s="3"/>
    </row>
    <row r="934" spans="2:2" ht="14.25" customHeight="1" x14ac:dyDescent="0.45">
      <c r="B934" s="3"/>
    </row>
    <row r="935" spans="2:2" ht="14.25" customHeight="1" x14ac:dyDescent="0.45">
      <c r="B935" s="3"/>
    </row>
    <row r="936" spans="2:2" ht="14.25" customHeight="1" x14ac:dyDescent="0.45">
      <c r="B936" s="3"/>
    </row>
    <row r="937" spans="2:2" ht="14.25" customHeight="1" x14ac:dyDescent="0.45">
      <c r="B937" s="3"/>
    </row>
    <row r="938" spans="2:2" ht="14.25" customHeight="1" x14ac:dyDescent="0.45">
      <c r="B938" s="3"/>
    </row>
    <row r="939" spans="2:2" ht="14.25" customHeight="1" x14ac:dyDescent="0.45">
      <c r="B939" s="3"/>
    </row>
    <row r="940" spans="2:2" ht="14.25" customHeight="1" x14ac:dyDescent="0.45">
      <c r="B940" s="3"/>
    </row>
    <row r="941" spans="2:2" ht="14.25" customHeight="1" x14ac:dyDescent="0.45">
      <c r="B941" s="3"/>
    </row>
    <row r="942" spans="2:2" ht="14.25" customHeight="1" x14ac:dyDescent="0.45">
      <c r="B942" s="3"/>
    </row>
    <row r="943" spans="2:2" ht="14.25" customHeight="1" x14ac:dyDescent="0.45">
      <c r="B943" s="3"/>
    </row>
    <row r="944" spans="2:2" ht="14.25" customHeight="1" x14ac:dyDescent="0.45">
      <c r="B944" s="3"/>
    </row>
    <row r="945" spans="2:2" ht="14.25" customHeight="1" x14ac:dyDescent="0.45">
      <c r="B945" s="3"/>
    </row>
    <row r="946" spans="2:2" ht="14.25" customHeight="1" x14ac:dyDescent="0.45">
      <c r="B946" s="3"/>
    </row>
    <row r="947" spans="2:2" ht="14.25" customHeight="1" x14ac:dyDescent="0.45">
      <c r="B947" s="3"/>
    </row>
    <row r="948" spans="2:2" ht="14.25" customHeight="1" x14ac:dyDescent="0.45">
      <c r="B948" s="3"/>
    </row>
    <row r="949" spans="2:2" ht="14.25" customHeight="1" x14ac:dyDescent="0.45">
      <c r="B949" s="3"/>
    </row>
    <row r="950" spans="2:2" ht="14.25" customHeight="1" x14ac:dyDescent="0.45">
      <c r="B950" s="3"/>
    </row>
    <row r="951" spans="2:2" ht="14.25" customHeight="1" x14ac:dyDescent="0.45">
      <c r="B951" s="3"/>
    </row>
    <row r="952" spans="2:2" ht="14.25" customHeight="1" x14ac:dyDescent="0.45">
      <c r="B952" s="3"/>
    </row>
    <row r="953" spans="2:2" ht="14.25" customHeight="1" x14ac:dyDescent="0.45">
      <c r="B953" s="3"/>
    </row>
    <row r="954" spans="2:2" ht="14.25" customHeight="1" x14ac:dyDescent="0.45">
      <c r="B954" s="3"/>
    </row>
    <row r="955" spans="2:2" ht="14.25" customHeight="1" x14ac:dyDescent="0.45">
      <c r="B955" s="3"/>
    </row>
    <row r="956" spans="2:2" ht="14.25" customHeight="1" x14ac:dyDescent="0.45">
      <c r="B956" s="3"/>
    </row>
    <row r="957" spans="2:2" ht="14.25" customHeight="1" x14ac:dyDescent="0.45">
      <c r="B957" s="3"/>
    </row>
    <row r="958" spans="2:2" ht="14.25" customHeight="1" x14ac:dyDescent="0.45">
      <c r="B958" s="3"/>
    </row>
    <row r="959" spans="2:2" ht="14.25" customHeight="1" x14ac:dyDescent="0.45">
      <c r="B959" s="3"/>
    </row>
    <row r="960" spans="2:2" ht="14.25" customHeight="1" x14ac:dyDescent="0.45">
      <c r="B960" s="3"/>
    </row>
    <row r="961" spans="2:2" ht="14.25" customHeight="1" x14ac:dyDescent="0.45">
      <c r="B961" s="3"/>
    </row>
    <row r="962" spans="2:2" ht="14.25" customHeight="1" x14ac:dyDescent="0.45">
      <c r="B962" s="3"/>
    </row>
    <row r="963" spans="2:2" ht="14.25" customHeight="1" x14ac:dyDescent="0.45">
      <c r="B963" s="3"/>
    </row>
    <row r="964" spans="2:2" ht="14.25" customHeight="1" x14ac:dyDescent="0.45">
      <c r="B964" s="3"/>
    </row>
    <row r="965" spans="2:2" ht="14.25" customHeight="1" x14ac:dyDescent="0.45">
      <c r="B965" s="3"/>
    </row>
    <row r="966" spans="2:2" ht="14.25" customHeight="1" x14ac:dyDescent="0.45">
      <c r="B966" s="3"/>
    </row>
    <row r="967" spans="2:2" ht="14.25" customHeight="1" x14ac:dyDescent="0.45">
      <c r="B967" s="3"/>
    </row>
    <row r="968" spans="2:2" ht="14.25" customHeight="1" x14ac:dyDescent="0.45">
      <c r="B968" s="3"/>
    </row>
    <row r="969" spans="2:2" ht="14.25" customHeight="1" x14ac:dyDescent="0.45">
      <c r="B969" s="3"/>
    </row>
    <row r="970" spans="2:2" ht="14.25" customHeight="1" x14ac:dyDescent="0.45">
      <c r="B970" s="3"/>
    </row>
    <row r="971" spans="2:2" ht="14.25" customHeight="1" x14ac:dyDescent="0.45">
      <c r="B971" s="3"/>
    </row>
    <row r="972" spans="2:2" ht="14.25" customHeight="1" x14ac:dyDescent="0.45">
      <c r="B972" s="3"/>
    </row>
    <row r="973" spans="2:2" ht="14.25" customHeight="1" x14ac:dyDescent="0.45">
      <c r="B973" s="3"/>
    </row>
    <row r="974" spans="2:2" ht="14.25" customHeight="1" x14ac:dyDescent="0.45">
      <c r="B974" s="3"/>
    </row>
    <row r="975" spans="2:2" ht="14.25" customHeight="1" x14ac:dyDescent="0.45">
      <c r="B975" s="3"/>
    </row>
    <row r="976" spans="2:2" ht="14.25" customHeight="1" x14ac:dyDescent="0.45">
      <c r="B976" s="3"/>
    </row>
    <row r="977" spans="2:2" ht="14.25" customHeight="1" x14ac:dyDescent="0.45">
      <c r="B977" s="3"/>
    </row>
    <row r="978" spans="2:2" ht="14.25" customHeight="1" x14ac:dyDescent="0.45">
      <c r="B978" s="3"/>
    </row>
    <row r="979" spans="2:2" ht="14.25" customHeight="1" x14ac:dyDescent="0.45">
      <c r="B979" s="3"/>
    </row>
    <row r="980" spans="2:2" ht="14.25" customHeight="1" x14ac:dyDescent="0.45">
      <c r="B980" s="3"/>
    </row>
    <row r="981" spans="2:2" ht="14.25" customHeight="1" x14ac:dyDescent="0.45">
      <c r="B981" s="3"/>
    </row>
    <row r="982" spans="2:2" ht="14.25" customHeight="1" x14ac:dyDescent="0.45">
      <c r="B982" s="3"/>
    </row>
    <row r="983" spans="2:2" ht="14.25" customHeight="1" x14ac:dyDescent="0.45">
      <c r="B983" s="3"/>
    </row>
    <row r="984" spans="2:2" ht="14.25" customHeight="1" x14ac:dyDescent="0.45">
      <c r="B984" s="3"/>
    </row>
    <row r="985" spans="2:2" ht="14.25" customHeight="1" x14ac:dyDescent="0.45">
      <c r="B985" s="3"/>
    </row>
    <row r="986" spans="2:2" ht="14.25" customHeight="1" x14ac:dyDescent="0.45">
      <c r="B986" s="3"/>
    </row>
    <row r="987" spans="2:2" ht="14.25" customHeight="1" x14ac:dyDescent="0.45">
      <c r="B987" s="3"/>
    </row>
    <row r="988" spans="2:2" ht="14.25" customHeight="1" x14ac:dyDescent="0.45">
      <c r="B988" s="3"/>
    </row>
    <row r="989" spans="2:2" ht="14.25" customHeight="1" x14ac:dyDescent="0.45">
      <c r="B989" s="3"/>
    </row>
    <row r="990" spans="2:2" ht="14.25" customHeight="1" x14ac:dyDescent="0.45">
      <c r="B990" s="3"/>
    </row>
    <row r="991" spans="2:2" ht="14.25" customHeight="1" x14ac:dyDescent="0.45">
      <c r="B991" s="3"/>
    </row>
    <row r="992" spans="2:2" ht="14.25" customHeight="1" x14ac:dyDescent="0.45">
      <c r="B992" s="3"/>
    </row>
    <row r="993" spans="2:2" ht="14.25" customHeight="1" x14ac:dyDescent="0.45">
      <c r="B993" s="3"/>
    </row>
    <row r="994" spans="2:2" ht="14.25" customHeight="1" x14ac:dyDescent="0.45">
      <c r="B994" s="3"/>
    </row>
    <row r="995" spans="2:2" ht="14.25" customHeight="1" x14ac:dyDescent="0.45">
      <c r="B995" s="3"/>
    </row>
    <row r="996" spans="2:2" ht="14.25" customHeight="1" x14ac:dyDescent="0.45">
      <c r="B996" s="3"/>
    </row>
    <row r="997" spans="2:2" ht="14.25" customHeight="1" x14ac:dyDescent="0.45">
      <c r="B997" s="3"/>
    </row>
    <row r="998" spans="2:2" ht="14.25" customHeight="1" x14ac:dyDescent="0.45">
      <c r="B998" s="3"/>
    </row>
    <row r="999" spans="2:2" ht="14.25" customHeight="1" x14ac:dyDescent="0.45">
      <c r="B999" s="3"/>
    </row>
    <row r="1000" spans="2:2" ht="14.25" customHeight="1" x14ac:dyDescent="0.45">
      <c r="B1000" s="3"/>
    </row>
    <row r="1001" spans="2:2" ht="14.25" customHeight="1" x14ac:dyDescent="0.45">
      <c r="B1001" s="3"/>
    </row>
    <row r="1002" spans="2:2" ht="14.25" customHeight="1" x14ac:dyDescent="0.45">
      <c r="B1002" s="3"/>
    </row>
    <row r="1003" spans="2:2" ht="14.25" customHeight="1" x14ac:dyDescent="0.45">
      <c r="B1003" s="3"/>
    </row>
    <row r="1004" spans="2:2" ht="14.25" customHeight="1" x14ac:dyDescent="0.45">
      <c r="B1004" s="3"/>
    </row>
    <row r="1005" spans="2:2" ht="14.25" customHeight="1" x14ac:dyDescent="0.45">
      <c r="B1005" s="3"/>
    </row>
    <row r="1006" spans="2:2" ht="14.25" customHeight="1" x14ac:dyDescent="0.45">
      <c r="B1006" s="3"/>
    </row>
    <row r="1007" spans="2:2" ht="14.25" customHeight="1" x14ac:dyDescent="0.45">
      <c r="B1007" s="3"/>
    </row>
    <row r="1008" spans="2:2" ht="14.25" customHeight="1" x14ac:dyDescent="0.45">
      <c r="B1008" s="3"/>
    </row>
    <row r="1009" spans="2:2" ht="14.25" customHeight="1" x14ac:dyDescent="0.45">
      <c r="B1009" s="3"/>
    </row>
    <row r="1010" spans="2:2" ht="14.25" customHeight="1" x14ac:dyDescent="0.45">
      <c r="B1010" s="3"/>
    </row>
    <row r="1011" spans="2:2" ht="14.25" customHeight="1" x14ac:dyDescent="0.45">
      <c r="B1011" s="3"/>
    </row>
    <row r="1012" spans="2:2" ht="14.25" customHeight="1" x14ac:dyDescent="0.45">
      <c r="B1012" s="3"/>
    </row>
    <row r="1013" spans="2:2" ht="14.25" customHeight="1" x14ac:dyDescent="0.45">
      <c r="B1013" s="3"/>
    </row>
    <row r="1014" spans="2:2" ht="14.25" customHeight="1" x14ac:dyDescent="0.45">
      <c r="B1014" s="3"/>
    </row>
    <row r="1015" spans="2:2" ht="14.25" customHeight="1" x14ac:dyDescent="0.45">
      <c r="B1015" s="3"/>
    </row>
    <row r="1016" spans="2:2" ht="14.25" customHeight="1" x14ac:dyDescent="0.45">
      <c r="B1016" s="3"/>
    </row>
    <row r="1017" spans="2:2" ht="14.25" customHeight="1" x14ac:dyDescent="0.45">
      <c r="B1017" s="3"/>
    </row>
    <row r="1018" spans="2:2" ht="14.25" customHeight="1" x14ac:dyDescent="0.45">
      <c r="B1018" s="3"/>
    </row>
    <row r="1019" spans="2:2" ht="14.25" customHeight="1" x14ac:dyDescent="0.45">
      <c r="B1019" s="3"/>
    </row>
    <row r="1020" spans="2:2" ht="14.25" customHeight="1" x14ac:dyDescent="0.45">
      <c r="B1020" s="3"/>
    </row>
    <row r="1021" spans="2:2" ht="14.25" customHeight="1" x14ac:dyDescent="0.45">
      <c r="B1021" s="3"/>
    </row>
    <row r="1022" spans="2:2" ht="14.25" customHeight="1" x14ac:dyDescent="0.45">
      <c r="B1022" s="3"/>
    </row>
    <row r="1023" spans="2:2" ht="14.25" customHeight="1" x14ac:dyDescent="0.45">
      <c r="B1023" s="3"/>
    </row>
    <row r="1024" spans="2:2" ht="14.25" customHeight="1" x14ac:dyDescent="0.45">
      <c r="B1024" s="3"/>
    </row>
    <row r="1025" spans="2:2" ht="14.25" customHeight="1" x14ac:dyDescent="0.45">
      <c r="B1025" s="3"/>
    </row>
    <row r="1026" spans="2:2" ht="14.25" customHeight="1" x14ac:dyDescent="0.45">
      <c r="B1026" s="3"/>
    </row>
    <row r="1027" spans="2:2" ht="14.25" customHeight="1" x14ac:dyDescent="0.45">
      <c r="B1027" s="3"/>
    </row>
    <row r="1028" spans="2:2" ht="14.25" customHeight="1" x14ac:dyDescent="0.45">
      <c r="B1028" s="3"/>
    </row>
    <row r="1029" spans="2:2" ht="14.25" customHeight="1" x14ac:dyDescent="0.45">
      <c r="B1029" s="3"/>
    </row>
    <row r="1030" spans="2:2" ht="14.25" customHeight="1" x14ac:dyDescent="0.45">
      <c r="B1030" s="3"/>
    </row>
    <row r="1031" spans="2:2" ht="14.25" customHeight="1" x14ac:dyDescent="0.45">
      <c r="B1031" s="3"/>
    </row>
    <row r="1032" spans="2:2" ht="14.25" customHeight="1" x14ac:dyDescent="0.45">
      <c r="B1032" s="3"/>
    </row>
    <row r="1033" spans="2:2" ht="14.25" customHeight="1" x14ac:dyDescent="0.45">
      <c r="B1033" s="3"/>
    </row>
    <row r="1034" spans="2:2" ht="14.25" customHeight="1" x14ac:dyDescent="0.45">
      <c r="B1034" s="3"/>
    </row>
    <row r="1035" spans="2:2" ht="14.25" customHeight="1" x14ac:dyDescent="0.45">
      <c r="B1035" s="3"/>
    </row>
    <row r="1036" spans="2:2" ht="14.25" customHeight="1" x14ac:dyDescent="0.45">
      <c r="B1036" s="3"/>
    </row>
    <row r="1037" spans="2:2" ht="14.25" customHeight="1" x14ac:dyDescent="0.45">
      <c r="B1037" s="3"/>
    </row>
    <row r="1038" spans="2:2" ht="14.25" customHeight="1" x14ac:dyDescent="0.45">
      <c r="B1038" s="3"/>
    </row>
    <row r="1039" spans="2:2" ht="14.25" customHeight="1" x14ac:dyDescent="0.45">
      <c r="B1039" s="3"/>
    </row>
    <row r="1040" spans="2:2" ht="14.25" customHeight="1" x14ac:dyDescent="0.45">
      <c r="B1040" s="3"/>
    </row>
    <row r="1041" spans="2:2" ht="14.25" customHeight="1" x14ac:dyDescent="0.45">
      <c r="B1041" s="3"/>
    </row>
    <row r="1042" spans="2:2" ht="14.25" customHeight="1" x14ac:dyDescent="0.45">
      <c r="B1042" s="3"/>
    </row>
    <row r="1043" spans="2:2" ht="14.25" customHeight="1" x14ac:dyDescent="0.45">
      <c r="B1043" s="3"/>
    </row>
    <row r="1044" spans="2:2" ht="14.25" customHeight="1" x14ac:dyDescent="0.45">
      <c r="B1044" s="3"/>
    </row>
    <row r="1045" spans="2:2" ht="14.25" customHeight="1" x14ac:dyDescent="0.45">
      <c r="B1045" s="3"/>
    </row>
    <row r="1046" spans="2:2" ht="14.25" customHeight="1" x14ac:dyDescent="0.45">
      <c r="B1046" s="3"/>
    </row>
    <row r="1047" spans="2:2" ht="14.25" customHeight="1" x14ac:dyDescent="0.45">
      <c r="B1047" s="3"/>
    </row>
    <row r="1048" spans="2:2" ht="14.25" customHeight="1" x14ac:dyDescent="0.45">
      <c r="B1048" s="3"/>
    </row>
    <row r="1049" spans="2:2" ht="14.25" customHeight="1" x14ac:dyDescent="0.45">
      <c r="B1049" s="3"/>
    </row>
    <row r="1050" spans="2:2" ht="14.25" customHeight="1" x14ac:dyDescent="0.45">
      <c r="B1050" s="3"/>
    </row>
    <row r="1051" spans="2:2" ht="14.25" customHeight="1" x14ac:dyDescent="0.45">
      <c r="B1051" s="3"/>
    </row>
    <row r="1052" spans="2:2" ht="14.25" customHeight="1" x14ac:dyDescent="0.45">
      <c r="B1052" s="3"/>
    </row>
    <row r="1053" spans="2:2" ht="14.25" customHeight="1" x14ac:dyDescent="0.45">
      <c r="B1053" s="3"/>
    </row>
    <row r="1054" spans="2:2" ht="14.25" customHeight="1" x14ac:dyDescent="0.45">
      <c r="B1054" s="3"/>
    </row>
    <row r="1055" spans="2:2" ht="14.25" customHeight="1" x14ac:dyDescent="0.45">
      <c r="B1055" s="3"/>
    </row>
    <row r="1056" spans="2:2" ht="14.25" customHeight="1" x14ac:dyDescent="0.45">
      <c r="B1056" s="3"/>
    </row>
    <row r="1057" spans="2:2" ht="14.25" customHeight="1" x14ac:dyDescent="0.45">
      <c r="B1057" s="3"/>
    </row>
    <row r="1058" spans="2:2" ht="14.25" customHeight="1" x14ac:dyDescent="0.45">
      <c r="B1058" s="3"/>
    </row>
    <row r="1059" spans="2:2" ht="14.25" customHeight="1" x14ac:dyDescent="0.45">
      <c r="B1059" s="3"/>
    </row>
    <row r="1060" spans="2:2" ht="14.25" customHeight="1" x14ac:dyDescent="0.45">
      <c r="B1060" s="3"/>
    </row>
    <row r="1061" spans="2:2" ht="14.25" customHeight="1" x14ac:dyDescent="0.45">
      <c r="B1061" s="3"/>
    </row>
    <row r="1062" spans="2:2" ht="14.25" customHeight="1" x14ac:dyDescent="0.45">
      <c r="B1062" s="3"/>
    </row>
    <row r="1063" spans="2:2" ht="14.25" customHeight="1" x14ac:dyDescent="0.45">
      <c r="B1063" s="3"/>
    </row>
    <row r="1064" spans="2:2" ht="14.25" customHeight="1" x14ac:dyDescent="0.45">
      <c r="B1064" s="3"/>
    </row>
    <row r="1065" spans="2:2" ht="14.25" customHeight="1" x14ac:dyDescent="0.45">
      <c r="B1065" s="3"/>
    </row>
    <row r="1066" spans="2:2" ht="14.25" customHeight="1" x14ac:dyDescent="0.45">
      <c r="B1066" s="3"/>
    </row>
    <row r="1067" spans="2:2" ht="14.25" customHeight="1" x14ac:dyDescent="0.45">
      <c r="B1067" s="3"/>
    </row>
    <row r="1068" spans="2:2" ht="14.25" customHeight="1" x14ac:dyDescent="0.45">
      <c r="B1068" s="3"/>
    </row>
    <row r="1069" spans="2:2" ht="14.25" customHeight="1" x14ac:dyDescent="0.45">
      <c r="B1069" s="3"/>
    </row>
    <row r="1070" spans="2:2" ht="14.25" customHeight="1" x14ac:dyDescent="0.45">
      <c r="B1070" s="3"/>
    </row>
    <row r="1071" spans="2:2" ht="14.25" customHeight="1" x14ac:dyDescent="0.45">
      <c r="B1071" s="3"/>
    </row>
    <row r="1072" spans="2:2" ht="14.25" customHeight="1" x14ac:dyDescent="0.45">
      <c r="B1072" s="3"/>
    </row>
    <row r="1073" spans="2:2" ht="14.25" customHeight="1" x14ac:dyDescent="0.45">
      <c r="B1073" s="3"/>
    </row>
    <row r="1074" spans="2:2" ht="14.25" customHeight="1" x14ac:dyDescent="0.45">
      <c r="B1074" s="3"/>
    </row>
    <row r="1075" spans="2:2" ht="14.25" customHeight="1" x14ac:dyDescent="0.45">
      <c r="B1075" s="3"/>
    </row>
    <row r="1076" spans="2:2" ht="14.25" customHeight="1" x14ac:dyDescent="0.45">
      <c r="B1076" s="3"/>
    </row>
    <row r="1077" spans="2:2" ht="14.25" customHeight="1" x14ac:dyDescent="0.45">
      <c r="B1077" s="3"/>
    </row>
    <row r="1078" spans="2:2" ht="14.25" customHeight="1" x14ac:dyDescent="0.45">
      <c r="B1078" s="3"/>
    </row>
    <row r="1079" spans="2:2" ht="14.25" customHeight="1" x14ac:dyDescent="0.45">
      <c r="B1079" s="3"/>
    </row>
    <row r="1080" spans="2:2" ht="14.25" customHeight="1" x14ac:dyDescent="0.45">
      <c r="B1080" s="3"/>
    </row>
    <row r="1081" spans="2:2" ht="14.25" customHeight="1" x14ac:dyDescent="0.45">
      <c r="B1081" s="3"/>
    </row>
    <row r="1082" spans="2:2" ht="14.25" customHeight="1" x14ac:dyDescent="0.45">
      <c r="B1082" s="3"/>
    </row>
    <row r="1083" spans="2:2" ht="14.25" customHeight="1" x14ac:dyDescent="0.45">
      <c r="B1083" s="3"/>
    </row>
    <row r="1084" spans="2:2" ht="14.25" customHeight="1" x14ac:dyDescent="0.45">
      <c r="B1084" s="3"/>
    </row>
    <row r="1085" spans="2:2" ht="14.25" customHeight="1" x14ac:dyDescent="0.45">
      <c r="B1085" s="3"/>
    </row>
    <row r="1086" spans="2:2" ht="14.25" customHeight="1" x14ac:dyDescent="0.45">
      <c r="B1086" s="3"/>
    </row>
    <row r="1087" spans="2:2" ht="14.25" customHeight="1" x14ac:dyDescent="0.45">
      <c r="B1087" s="3"/>
    </row>
    <row r="1088" spans="2:2" ht="14.25" customHeight="1" x14ac:dyDescent="0.45">
      <c r="B1088" s="3"/>
    </row>
    <row r="1089" spans="2:2" ht="14.25" customHeight="1" x14ac:dyDescent="0.45">
      <c r="B1089" s="3"/>
    </row>
    <row r="1090" spans="2:2" ht="14.25" customHeight="1" x14ac:dyDescent="0.45">
      <c r="B1090" s="3"/>
    </row>
    <row r="1091" spans="2:2" ht="14.25" customHeight="1" x14ac:dyDescent="0.45">
      <c r="B1091" s="3"/>
    </row>
    <row r="1092" spans="2:2" ht="14.25" customHeight="1" x14ac:dyDescent="0.45">
      <c r="B1092" s="3"/>
    </row>
    <row r="1093" spans="2:2" ht="14.25" customHeight="1" x14ac:dyDescent="0.45">
      <c r="B1093" s="3"/>
    </row>
    <row r="1094" spans="2:2" ht="14.25" customHeight="1" x14ac:dyDescent="0.45">
      <c r="B1094" s="3"/>
    </row>
    <row r="1095" spans="2:2" ht="14.25" customHeight="1" x14ac:dyDescent="0.45">
      <c r="B1095" s="3"/>
    </row>
    <row r="1096" spans="2:2" ht="14.25" customHeight="1" x14ac:dyDescent="0.45">
      <c r="B1096" s="3"/>
    </row>
    <row r="1097" spans="2:2" ht="14.25" customHeight="1" x14ac:dyDescent="0.45">
      <c r="B1097" s="3"/>
    </row>
    <row r="1098" spans="2:2" ht="14.25" customHeight="1" x14ac:dyDescent="0.45">
      <c r="B1098" s="3"/>
    </row>
    <row r="1099" spans="2:2" ht="14.25" customHeight="1" x14ac:dyDescent="0.45">
      <c r="B1099" s="3"/>
    </row>
    <row r="1100" spans="2:2" ht="14.25" customHeight="1" x14ac:dyDescent="0.45">
      <c r="B1100" s="3"/>
    </row>
    <row r="1101" spans="2:2" ht="14.25" customHeight="1" x14ac:dyDescent="0.45">
      <c r="B1101" s="3"/>
    </row>
    <row r="1102" spans="2:2" ht="14.25" customHeight="1" x14ac:dyDescent="0.45">
      <c r="B1102" s="3"/>
    </row>
    <row r="1103" spans="2:2" ht="14.25" customHeight="1" x14ac:dyDescent="0.45">
      <c r="B1103" s="3"/>
    </row>
    <row r="1104" spans="2:2" ht="14.25" customHeight="1" x14ac:dyDescent="0.45">
      <c r="B1104" s="3"/>
    </row>
    <row r="1105" spans="2:2" ht="14.25" customHeight="1" x14ac:dyDescent="0.45">
      <c r="B1105" s="3"/>
    </row>
    <row r="1106" spans="2:2" ht="14.25" customHeight="1" x14ac:dyDescent="0.45">
      <c r="B1106" s="3"/>
    </row>
    <row r="1107" spans="2:2" ht="14.25" customHeight="1" x14ac:dyDescent="0.45">
      <c r="B1107" s="3"/>
    </row>
    <row r="1108" spans="2:2" ht="14.25" customHeight="1" x14ac:dyDescent="0.45">
      <c r="B1108" s="3"/>
    </row>
    <row r="1109" spans="2:2" ht="14.25" customHeight="1" x14ac:dyDescent="0.45">
      <c r="B1109" s="3"/>
    </row>
    <row r="1110" spans="2:2" ht="14.25" customHeight="1" x14ac:dyDescent="0.45">
      <c r="B1110" s="3"/>
    </row>
    <row r="1111" spans="2:2" ht="14.25" customHeight="1" x14ac:dyDescent="0.45">
      <c r="B1111" s="3"/>
    </row>
    <row r="1112" spans="2:2" ht="14.25" customHeight="1" x14ac:dyDescent="0.45">
      <c r="B1112" s="3"/>
    </row>
    <row r="1113" spans="2:2" ht="14.25" customHeight="1" x14ac:dyDescent="0.45">
      <c r="B1113" s="3"/>
    </row>
    <row r="1114" spans="2:2" ht="14.25" customHeight="1" x14ac:dyDescent="0.45">
      <c r="B1114" s="3"/>
    </row>
    <row r="1115" spans="2:2" ht="14.25" customHeight="1" x14ac:dyDescent="0.45">
      <c r="B1115" s="3"/>
    </row>
    <row r="1116" spans="2:2" ht="14.25" customHeight="1" x14ac:dyDescent="0.45">
      <c r="B1116" s="3"/>
    </row>
  </sheetData>
  <autoFilter ref="A1:I297" xr:uid="{00000000-0009-0000-0000-000002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2"/>
  <sheetViews>
    <sheetView tabSelected="1" workbookViewId="0">
      <pane ySplit="1" topLeftCell="A17" activePane="bottomLeft" state="frozen"/>
      <selection pane="bottomLeft" activeCell="C48" sqref="C48"/>
    </sheetView>
  </sheetViews>
  <sheetFormatPr defaultColWidth="14.3984375" defaultRowHeight="15" customHeight="1" x14ac:dyDescent="0.45"/>
  <cols>
    <col min="1" max="1" width="27.53125" customWidth="1"/>
    <col min="2" max="2" width="17.3984375" customWidth="1"/>
    <col min="3" max="3" width="15.265625" customWidth="1"/>
    <col min="4" max="4" width="6.73046875" customWidth="1"/>
    <col min="5" max="5" width="13.73046875" customWidth="1"/>
    <col min="6" max="6" width="8.73046875" customWidth="1"/>
    <col min="7" max="7" width="12.86328125" customWidth="1"/>
    <col min="8" max="8" width="16.3984375" customWidth="1"/>
    <col min="9" max="19" width="8.73046875" customWidth="1"/>
  </cols>
  <sheetData>
    <row r="1" spans="1:8" ht="14.25" customHeight="1" x14ac:dyDescent="0.45">
      <c r="A1" s="2" t="s">
        <v>9</v>
      </c>
      <c r="B1" s="2" t="s">
        <v>14</v>
      </c>
      <c r="C1" s="2" t="s">
        <v>16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23</v>
      </c>
    </row>
    <row r="2" spans="1:8" ht="14.25" customHeight="1" x14ac:dyDescent="0.45">
      <c r="A2" s="2" t="s">
        <v>26</v>
      </c>
      <c r="B2" s="2" t="s">
        <v>27</v>
      </c>
      <c r="C2" s="2" t="s">
        <v>28</v>
      </c>
      <c r="D2" s="2" t="s">
        <v>29</v>
      </c>
      <c r="E2" s="7">
        <v>46023</v>
      </c>
      <c r="F2" s="10">
        <v>1933</v>
      </c>
      <c r="G2" s="13">
        <v>72.19</v>
      </c>
      <c r="H2" s="13">
        <f t="shared" ref="H2:H37" si="0">G2*F2</f>
        <v>139543.26999999999</v>
      </c>
    </row>
    <row r="3" spans="1:8" ht="14.25" customHeight="1" x14ac:dyDescent="0.45">
      <c r="A3" s="2" t="s">
        <v>30</v>
      </c>
      <c r="B3" s="2" t="s">
        <v>35</v>
      </c>
      <c r="C3" s="2" t="s">
        <v>36</v>
      </c>
      <c r="D3" s="2" t="s">
        <v>29</v>
      </c>
      <c r="E3" s="7">
        <v>43831</v>
      </c>
      <c r="F3" s="10">
        <v>20</v>
      </c>
      <c r="G3" s="13">
        <v>644.11</v>
      </c>
      <c r="H3" s="13">
        <f t="shared" si="0"/>
        <v>12882.2</v>
      </c>
    </row>
    <row r="4" spans="1:8" ht="14.25" customHeight="1" x14ac:dyDescent="0.45">
      <c r="A4" s="2" t="s">
        <v>30</v>
      </c>
      <c r="B4" s="2" t="s">
        <v>41</v>
      </c>
      <c r="C4" s="2" t="s">
        <v>42</v>
      </c>
      <c r="D4" s="2" t="s">
        <v>29</v>
      </c>
      <c r="E4" s="7">
        <v>43831</v>
      </c>
      <c r="F4" s="10">
        <v>40</v>
      </c>
      <c r="G4" s="13">
        <v>332.01</v>
      </c>
      <c r="H4" s="13">
        <f t="shared" si="0"/>
        <v>13280.4</v>
      </c>
    </row>
    <row r="5" spans="1:8" ht="14.25" customHeight="1" x14ac:dyDescent="0.45">
      <c r="A5" s="2" t="s">
        <v>30</v>
      </c>
      <c r="B5" s="2" t="s">
        <v>43</v>
      </c>
      <c r="C5" s="2" t="s">
        <v>44</v>
      </c>
      <c r="D5" s="2" t="s">
        <v>29</v>
      </c>
      <c r="E5" s="7">
        <v>43831</v>
      </c>
      <c r="F5" s="10">
        <v>150</v>
      </c>
      <c r="G5" s="13">
        <v>47.33</v>
      </c>
      <c r="H5" s="13">
        <f t="shared" si="0"/>
        <v>7099.5</v>
      </c>
    </row>
    <row r="6" spans="1:8" ht="14.25" customHeight="1" x14ac:dyDescent="0.45">
      <c r="A6" s="2" t="s">
        <v>30</v>
      </c>
      <c r="B6" s="2" t="s">
        <v>47</v>
      </c>
      <c r="C6" s="2" t="s">
        <v>48</v>
      </c>
      <c r="D6" s="2" t="s">
        <v>29</v>
      </c>
      <c r="E6" s="7">
        <v>43831</v>
      </c>
      <c r="F6" s="10">
        <v>400</v>
      </c>
      <c r="G6" s="13">
        <v>21.99</v>
      </c>
      <c r="H6" s="13">
        <f t="shared" si="0"/>
        <v>8796</v>
      </c>
    </row>
    <row r="7" spans="1:8" ht="14.25" customHeight="1" x14ac:dyDescent="0.45">
      <c r="A7" s="2" t="s">
        <v>30</v>
      </c>
      <c r="B7" s="2" t="s">
        <v>49</v>
      </c>
      <c r="C7" s="2" t="s">
        <v>50</v>
      </c>
      <c r="D7" s="2" t="s">
        <v>29</v>
      </c>
      <c r="E7" s="7">
        <v>43831</v>
      </c>
      <c r="F7" s="10">
        <v>1</v>
      </c>
      <c r="G7" s="13">
        <v>3420</v>
      </c>
      <c r="H7" s="13">
        <f t="shared" si="0"/>
        <v>3420</v>
      </c>
    </row>
    <row r="8" spans="1:8" ht="14.25" customHeight="1" x14ac:dyDescent="0.45">
      <c r="A8" s="2" t="s">
        <v>30</v>
      </c>
      <c r="B8" s="2" t="s">
        <v>53</v>
      </c>
      <c r="C8" s="2" t="s">
        <v>55</v>
      </c>
      <c r="D8" s="2" t="s">
        <v>29</v>
      </c>
      <c r="E8" s="7">
        <v>43831</v>
      </c>
      <c r="F8" s="10">
        <v>5</v>
      </c>
      <c r="G8" s="13">
        <v>1635</v>
      </c>
      <c r="H8" s="13">
        <f t="shared" si="0"/>
        <v>8175</v>
      </c>
    </row>
    <row r="9" spans="1:8" ht="14.25" customHeight="1" x14ac:dyDescent="0.45">
      <c r="A9" s="2" t="s">
        <v>30</v>
      </c>
      <c r="B9" s="2" t="s">
        <v>57</v>
      </c>
      <c r="C9" s="2" t="s">
        <v>58</v>
      </c>
      <c r="D9" s="2" t="s">
        <v>29</v>
      </c>
      <c r="E9" s="7">
        <v>43831</v>
      </c>
      <c r="F9" s="10">
        <v>340</v>
      </c>
      <c r="G9" s="13">
        <v>110.77</v>
      </c>
      <c r="H9" s="13">
        <f t="shared" si="0"/>
        <v>37661.799999999996</v>
      </c>
    </row>
    <row r="10" spans="1:8" ht="14.25" customHeight="1" x14ac:dyDescent="0.45">
      <c r="A10" s="2" t="s">
        <v>30</v>
      </c>
      <c r="B10" s="2" t="s">
        <v>60</v>
      </c>
      <c r="C10" s="2" t="s">
        <v>61</v>
      </c>
      <c r="D10" s="2" t="s">
        <v>29</v>
      </c>
      <c r="E10" s="7">
        <v>43831</v>
      </c>
      <c r="F10" s="10">
        <v>34</v>
      </c>
      <c r="G10" s="13">
        <v>579.98</v>
      </c>
      <c r="H10" s="13">
        <f t="shared" si="0"/>
        <v>19719.32</v>
      </c>
    </row>
    <row r="11" spans="1:8" ht="14.25" customHeight="1" x14ac:dyDescent="0.45">
      <c r="A11" s="2" t="s">
        <v>30</v>
      </c>
      <c r="B11" s="2" t="s">
        <v>62</v>
      </c>
      <c r="C11" s="2" t="s">
        <v>63</v>
      </c>
      <c r="D11" s="2" t="s">
        <v>29</v>
      </c>
      <c r="E11" s="7">
        <v>43831</v>
      </c>
      <c r="F11" s="10">
        <v>50</v>
      </c>
      <c r="G11" s="13">
        <v>639</v>
      </c>
      <c r="H11" s="13">
        <f t="shared" si="0"/>
        <v>31950</v>
      </c>
    </row>
    <row r="12" spans="1:8" ht="14.25" customHeight="1" x14ac:dyDescent="0.45">
      <c r="A12" s="2" t="s">
        <v>30</v>
      </c>
      <c r="B12" s="2" t="s">
        <v>64</v>
      </c>
      <c r="C12" s="2" t="s">
        <v>65</v>
      </c>
      <c r="D12" s="2" t="s">
        <v>29</v>
      </c>
      <c r="E12" s="7">
        <v>43831</v>
      </c>
      <c r="F12" s="10">
        <v>200</v>
      </c>
      <c r="G12" s="13">
        <v>155.4</v>
      </c>
      <c r="H12" s="13">
        <f t="shared" si="0"/>
        <v>31080</v>
      </c>
    </row>
    <row r="13" spans="1:8" ht="14.25" customHeight="1" x14ac:dyDescent="0.45">
      <c r="A13" s="2" t="s">
        <v>30</v>
      </c>
      <c r="B13" s="2" t="s">
        <v>68</v>
      </c>
      <c r="C13" s="2" t="s">
        <v>69</v>
      </c>
      <c r="D13" s="2" t="s">
        <v>29</v>
      </c>
      <c r="E13" s="7">
        <v>43831</v>
      </c>
      <c r="F13" s="10">
        <v>50</v>
      </c>
      <c r="G13" s="13">
        <v>180.33</v>
      </c>
      <c r="H13" s="13">
        <f t="shared" si="0"/>
        <v>9016.5</v>
      </c>
    </row>
    <row r="14" spans="1:8" ht="14.25" customHeight="1" x14ac:dyDescent="0.45">
      <c r="A14" s="2" t="s">
        <v>30</v>
      </c>
      <c r="B14" s="2" t="s">
        <v>70</v>
      </c>
      <c r="C14" s="2" t="s">
        <v>71</v>
      </c>
      <c r="D14" s="2" t="s">
        <v>29</v>
      </c>
      <c r="E14" s="7">
        <v>43831</v>
      </c>
      <c r="F14" s="10">
        <v>152</v>
      </c>
      <c r="G14" s="13">
        <v>255.36</v>
      </c>
      <c r="H14" s="13">
        <f t="shared" si="0"/>
        <v>38814.720000000001</v>
      </c>
    </row>
    <row r="15" spans="1:8" ht="14.25" customHeight="1" x14ac:dyDescent="0.45">
      <c r="A15" s="2" t="s">
        <v>30</v>
      </c>
      <c r="B15" s="2" t="s">
        <v>72</v>
      </c>
      <c r="C15" s="2" t="s">
        <v>73</v>
      </c>
      <c r="D15" s="2" t="s">
        <v>29</v>
      </c>
      <c r="E15" s="7">
        <v>43831</v>
      </c>
      <c r="F15" s="10">
        <v>8</v>
      </c>
      <c r="G15" s="13">
        <v>44.77</v>
      </c>
      <c r="H15" s="13">
        <f t="shared" si="0"/>
        <v>358.16</v>
      </c>
    </row>
    <row r="16" spans="1:8" ht="14.25" customHeight="1" x14ac:dyDescent="0.45">
      <c r="A16" s="2" t="s">
        <v>30</v>
      </c>
      <c r="B16" s="2" t="s">
        <v>77</v>
      </c>
      <c r="C16" s="2" t="s">
        <v>78</v>
      </c>
      <c r="D16" s="2" t="s">
        <v>29</v>
      </c>
      <c r="E16" s="7">
        <v>43831</v>
      </c>
      <c r="F16" s="10">
        <v>105</v>
      </c>
      <c r="G16" s="13">
        <v>12.21</v>
      </c>
      <c r="H16" s="13">
        <f t="shared" si="0"/>
        <v>1282.0500000000002</v>
      </c>
    </row>
    <row r="17" spans="1:8" ht="14.25" customHeight="1" x14ac:dyDescent="0.45">
      <c r="A17" s="2" t="s">
        <v>30</v>
      </c>
      <c r="B17" s="2" t="s">
        <v>79</v>
      </c>
      <c r="C17" s="2" t="s">
        <v>80</v>
      </c>
      <c r="D17" s="2" t="s">
        <v>29</v>
      </c>
      <c r="E17" s="7">
        <v>43831</v>
      </c>
      <c r="F17" s="10">
        <v>10</v>
      </c>
      <c r="G17" s="13">
        <v>849.8</v>
      </c>
      <c r="H17" s="13">
        <f t="shared" si="0"/>
        <v>8498</v>
      </c>
    </row>
    <row r="18" spans="1:8" ht="14.25" customHeight="1" x14ac:dyDescent="0.45">
      <c r="A18" s="2" t="s">
        <v>30</v>
      </c>
      <c r="B18" s="2" t="s">
        <v>83</v>
      </c>
      <c r="C18" s="2" t="s">
        <v>84</v>
      </c>
      <c r="D18" s="2" t="s">
        <v>29</v>
      </c>
      <c r="E18" s="7">
        <v>43831</v>
      </c>
      <c r="F18" s="10">
        <v>200</v>
      </c>
      <c r="G18" s="13">
        <v>163.18</v>
      </c>
      <c r="H18" s="13">
        <f t="shared" si="0"/>
        <v>32636</v>
      </c>
    </row>
    <row r="19" spans="1:8" ht="14.25" customHeight="1" x14ac:dyDescent="0.45">
      <c r="A19" s="2" t="s">
        <v>30</v>
      </c>
      <c r="B19" s="2" t="s">
        <v>85</v>
      </c>
      <c r="C19" s="2" t="s">
        <v>86</v>
      </c>
      <c r="D19" s="2" t="s">
        <v>29</v>
      </c>
      <c r="E19" s="7">
        <v>43831</v>
      </c>
      <c r="F19" s="10">
        <v>1000</v>
      </c>
      <c r="G19" s="13">
        <v>95.59</v>
      </c>
      <c r="H19" s="13">
        <f t="shared" si="0"/>
        <v>95590</v>
      </c>
    </row>
    <row r="20" spans="1:8" ht="14.25" customHeight="1" x14ac:dyDescent="0.45">
      <c r="A20" s="2" t="s">
        <v>30</v>
      </c>
      <c r="B20" s="2" t="s">
        <v>87</v>
      </c>
      <c r="C20" s="2" t="s">
        <v>88</v>
      </c>
      <c r="D20" s="2" t="s">
        <v>29</v>
      </c>
      <c r="E20" s="7">
        <v>43831</v>
      </c>
      <c r="F20" s="10">
        <v>200</v>
      </c>
      <c r="G20" s="13">
        <v>172</v>
      </c>
      <c r="H20" s="13">
        <f t="shared" si="0"/>
        <v>34400</v>
      </c>
    </row>
    <row r="21" spans="1:8" ht="14.25" customHeight="1" x14ac:dyDescent="0.45">
      <c r="A21" s="2" t="s">
        <v>30</v>
      </c>
      <c r="B21" s="2" t="s">
        <v>90</v>
      </c>
      <c r="C21" s="2" t="s">
        <v>91</v>
      </c>
      <c r="D21" s="2" t="s">
        <v>29</v>
      </c>
      <c r="E21" s="7">
        <v>43831</v>
      </c>
      <c r="F21" s="10">
        <v>10</v>
      </c>
      <c r="G21" s="13">
        <v>445</v>
      </c>
      <c r="H21" s="13">
        <f t="shared" si="0"/>
        <v>4450</v>
      </c>
    </row>
    <row r="22" spans="1:8" ht="14.25" customHeight="1" x14ac:dyDescent="0.45">
      <c r="A22" s="2" t="s">
        <v>30</v>
      </c>
      <c r="B22" s="2" t="s">
        <v>92</v>
      </c>
      <c r="C22" s="2" t="s">
        <v>93</v>
      </c>
      <c r="D22" s="2" t="s">
        <v>29</v>
      </c>
      <c r="E22" s="7">
        <v>43831</v>
      </c>
      <c r="F22" s="10">
        <v>1000</v>
      </c>
      <c r="G22" s="13">
        <v>4.9000000000000004</v>
      </c>
      <c r="H22" s="13">
        <f t="shared" si="0"/>
        <v>4900</v>
      </c>
    </row>
    <row r="23" spans="1:8" ht="14.25" customHeight="1" x14ac:dyDescent="0.45">
      <c r="A23" s="2" t="s">
        <v>30</v>
      </c>
      <c r="B23" s="2" t="s">
        <v>94</v>
      </c>
      <c r="C23" s="2" t="s">
        <v>95</v>
      </c>
      <c r="D23" s="2" t="s">
        <v>29</v>
      </c>
      <c r="E23" s="7">
        <v>43831</v>
      </c>
      <c r="F23" s="10">
        <v>100</v>
      </c>
      <c r="G23" s="13">
        <v>98</v>
      </c>
      <c r="H23" s="13">
        <f t="shared" si="0"/>
        <v>9800</v>
      </c>
    </row>
    <row r="24" spans="1:8" ht="14.25" customHeight="1" x14ac:dyDescent="0.45">
      <c r="A24" s="2" t="s">
        <v>30</v>
      </c>
      <c r="B24" s="2" t="s">
        <v>96</v>
      </c>
      <c r="C24" s="2" t="s">
        <v>97</v>
      </c>
      <c r="D24" s="2" t="s">
        <v>29</v>
      </c>
      <c r="E24" s="7">
        <v>43831</v>
      </c>
      <c r="F24" s="10">
        <v>25</v>
      </c>
      <c r="G24" s="13">
        <v>98.43</v>
      </c>
      <c r="H24" s="13">
        <f t="shared" si="0"/>
        <v>2460.75</v>
      </c>
    </row>
    <row r="25" spans="1:8" ht="14.25" customHeight="1" x14ac:dyDescent="0.45">
      <c r="A25" s="2" t="s">
        <v>30</v>
      </c>
      <c r="B25" s="2" t="s">
        <v>98</v>
      </c>
      <c r="C25" s="2" t="s">
        <v>99</v>
      </c>
      <c r="D25" s="2" t="s">
        <v>29</v>
      </c>
      <c r="E25" s="7">
        <v>43831</v>
      </c>
      <c r="F25" s="10">
        <v>25</v>
      </c>
      <c r="G25" s="13">
        <v>217.57</v>
      </c>
      <c r="H25" s="13">
        <f t="shared" si="0"/>
        <v>5439.25</v>
      </c>
    </row>
    <row r="26" spans="1:8" ht="14.25" customHeight="1" x14ac:dyDescent="0.45">
      <c r="A26" s="2" t="s">
        <v>30</v>
      </c>
      <c r="B26" s="2" t="s">
        <v>100</v>
      </c>
      <c r="C26" s="2" t="s">
        <v>101</v>
      </c>
      <c r="D26" s="2" t="s">
        <v>29</v>
      </c>
      <c r="E26" s="7">
        <v>43831</v>
      </c>
      <c r="F26" s="10">
        <v>100</v>
      </c>
      <c r="G26" s="13">
        <v>19.510000000000002</v>
      </c>
      <c r="H26" s="13">
        <f t="shared" si="0"/>
        <v>1951.0000000000002</v>
      </c>
    </row>
    <row r="27" spans="1:8" ht="14.25" customHeight="1" x14ac:dyDescent="0.45">
      <c r="A27" s="2" t="s">
        <v>30</v>
      </c>
      <c r="B27" s="2" t="s">
        <v>102</v>
      </c>
      <c r="C27" s="2" t="s">
        <v>103</v>
      </c>
      <c r="D27" s="2" t="s">
        <v>29</v>
      </c>
      <c r="E27" s="7">
        <v>43831</v>
      </c>
      <c r="F27" s="10">
        <v>100</v>
      </c>
      <c r="G27" s="13">
        <v>272.89999999999998</v>
      </c>
      <c r="H27" s="13">
        <f t="shared" si="0"/>
        <v>27289.999999999996</v>
      </c>
    </row>
    <row r="28" spans="1:8" ht="14.25" customHeight="1" x14ac:dyDescent="0.45">
      <c r="A28" s="2" t="s">
        <v>30</v>
      </c>
      <c r="B28" s="2" t="s">
        <v>104</v>
      </c>
      <c r="C28" s="2" t="s">
        <v>105</v>
      </c>
      <c r="D28" s="2" t="s">
        <v>29</v>
      </c>
      <c r="E28" s="7">
        <v>43831</v>
      </c>
      <c r="F28" s="10">
        <v>100</v>
      </c>
      <c r="G28" s="13">
        <v>33.380000000000003</v>
      </c>
      <c r="H28" s="13">
        <f t="shared" si="0"/>
        <v>3338.0000000000005</v>
      </c>
    </row>
    <row r="29" spans="1:8" ht="14.25" customHeight="1" x14ac:dyDescent="0.45">
      <c r="A29" s="2" t="s">
        <v>30</v>
      </c>
      <c r="B29" s="2" t="s">
        <v>106</v>
      </c>
      <c r="C29" s="2" t="s">
        <v>107</v>
      </c>
      <c r="D29" s="2" t="s">
        <v>29</v>
      </c>
      <c r="E29" s="7">
        <v>43831</v>
      </c>
      <c r="F29" s="10">
        <v>100</v>
      </c>
      <c r="G29" s="13">
        <v>18.53</v>
      </c>
      <c r="H29" s="13">
        <f t="shared" si="0"/>
        <v>1853</v>
      </c>
    </row>
    <row r="30" spans="1:8" ht="14.25" customHeight="1" x14ac:dyDescent="0.45">
      <c r="A30" s="2" t="s">
        <v>30</v>
      </c>
      <c r="B30" s="2" t="s">
        <v>108</v>
      </c>
      <c r="C30" s="2" t="s">
        <v>109</v>
      </c>
      <c r="D30" s="2" t="s">
        <v>29</v>
      </c>
      <c r="E30" s="7">
        <v>43831</v>
      </c>
      <c r="F30" s="10">
        <v>100</v>
      </c>
      <c r="G30" s="13">
        <v>58.65</v>
      </c>
      <c r="H30" s="13">
        <f t="shared" si="0"/>
        <v>5865</v>
      </c>
    </row>
    <row r="31" spans="1:8" ht="14.25" customHeight="1" x14ac:dyDescent="0.45">
      <c r="A31" s="2" t="s">
        <v>30</v>
      </c>
      <c r="B31" s="2" t="s">
        <v>110</v>
      </c>
      <c r="C31" s="2" t="s">
        <v>111</v>
      </c>
      <c r="D31" s="2" t="s">
        <v>29</v>
      </c>
      <c r="E31" s="7">
        <v>43831</v>
      </c>
      <c r="F31" s="10">
        <v>100</v>
      </c>
      <c r="G31" s="13">
        <v>93</v>
      </c>
      <c r="H31" s="13">
        <f t="shared" si="0"/>
        <v>9300</v>
      </c>
    </row>
    <row r="32" spans="1:8" ht="14.25" customHeight="1" x14ac:dyDescent="0.45">
      <c r="A32" s="2" t="s">
        <v>30</v>
      </c>
      <c r="B32" s="23" t="s">
        <v>112</v>
      </c>
      <c r="C32" s="2" t="s">
        <v>113</v>
      </c>
      <c r="D32" s="2" t="s">
        <v>29</v>
      </c>
      <c r="E32" s="7">
        <v>43831</v>
      </c>
      <c r="F32" s="10">
        <v>3358</v>
      </c>
      <c r="G32" s="13">
        <v>23.9</v>
      </c>
      <c r="H32" s="13">
        <f t="shared" si="0"/>
        <v>80256.2</v>
      </c>
    </row>
    <row r="33" spans="1:8" ht="14.25" customHeight="1" x14ac:dyDescent="0.45">
      <c r="A33" s="2" t="s">
        <v>30</v>
      </c>
      <c r="B33" s="2" t="s">
        <v>114</v>
      </c>
      <c r="C33" s="2" t="s">
        <v>115</v>
      </c>
      <c r="D33" s="2" t="s">
        <v>29</v>
      </c>
      <c r="E33" s="7">
        <v>43831</v>
      </c>
      <c r="F33" s="10">
        <v>1</v>
      </c>
      <c r="G33" s="13">
        <v>584.1</v>
      </c>
      <c r="H33" s="13">
        <f t="shared" si="0"/>
        <v>584.1</v>
      </c>
    </row>
    <row r="34" spans="1:8" ht="14.25" customHeight="1" x14ac:dyDescent="0.45">
      <c r="A34" s="2" t="s">
        <v>56</v>
      </c>
      <c r="B34" s="2" t="s">
        <v>70</v>
      </c>
      <c r="C34" s="2" t="s">
        <v>71</v>
      </c>
      <c r="D34" s="2" t="s">
        <v>29</v>
      </c>
      <c r="E34" s="7">
        <v>43831</v>
      </c>
      <c r="F34" s="10">
        <v>500</v>
      </c>
      <c r="G34" s="13">
        <v>330</v>
      </c>
      <c r="H34" s="13">
        <f t="shared" si="0"/>
        <v>165000</v>
      </c>
    </row>
    <row r="35" spans="1:8" ht="14.25" customHeight="1" x14ac:dyDescent="0.45">
      <c r="A35" s="2" t="s">
        <v>56</v>
      </c>
      <c r="B35" s="2" t="s">
        <v>116</v>
      </c>
      <c r="C35" s="2" t="s">
        <v>117</v>
      </c>
      <c r="D35" s="2" t="s">
        <v>29</v>
      </c>
      <c r="E35" s="7">
        <v>43831</v>
      </c>
      <c r="F35" s="2">
        <v>84</v>
      </c>
      <c r="G35" s="2">
        <v>5890</v>
      </c>
      <c r="H35" s="13">
        <f t="shared" si="0"/>
        <v>494760</v>
      </c>
    </row>
    <row r="36" spans="1:8" ht="14.25" customHeight="1" x14ac:dyDescent="0.45">
      <c r="A36" s="2" t="s">
        <v>30</v>
      </c>
      <c r="B36" s="2" t="s">
        <v>118</v>
      </c>
      <c r="C36" s="2" t="s">
        <v>119</v>
      </c>
      <c r="D36" s="2" t="s">
        <v>29</v>
      </c>
      <c r="E36" s="7">
        <v>43831</v>
      </c>
      <c r="F36" s="2">
        <v>2</v>
      </c>
      <c r="G36" s="2">
        <v>4612</v>
      </c>
      <c r="H36" s="2">
        <f t="shared" si="0"/>
        <v>9224</v>
      </c>
    </row>
    <row r="37" spans="1:8" ht="14.25" customHeight="1" x14ac:dyDescent="0.45">
      <c r="A37" s="2" t="s">
        <v>66</v>
      </c>
      <c r="B37" s="2" t="s">
        <v>195</v>
      </c>
      <c r="C37" s="2" t="s">
        <v>184</v>
      </c>
      <c r="D37" s="2" t="s">
        <v>29</v>
      </c>
      <c r="E37" s="7">
        <v>46252</v>
      </c>
      <c r="F37" s="2">
        <v>299</v>
      </c>
      <c r="G37" s="2">
        <v>125.25</v>
      </c>
      <c r="H37" s="2">
        <f t="shared" si="0"/>
        <v>37449.75</v>
      </c>
    </row>
    <row r="38" spans="1:8" ht="14.25" customHeight="1" x14ac:dyDescent="0.45"/>
    <row r="39" spans="1:8" ht="14.25" customHeight="1" x14ac:dyDescent="0.45"/>
    <row r="40" spans="1:8" ht="14.25" customHeight="1" x14ac:dyDescent="0.45"/>
    <row r="41" spans="1:8" ht="14.25" customHeight="1" x14ac:dyDescent="0.45"/>
    <row r="42" spans="1:8" ht="14.25" customHeight="1" x14ac:dyDescent="0.45"/>
    <row r="43" spans="1:8" ht="14.25" customHeight="1" x14ac:dyDescent="0.45"/>
    <row r="44" spans="1:8" ht="14.25" customHeight="1" x14ac:dyDescent="0.45"/>
    <row r="45" spans="1:8" ht="14.25" customHeight="1" x14ac:dyDescent="0.45"/>
    <row r="46" spans="1:8" ht="14.25" customHeight="1" x14ac:dyDescent="0.45"/>
    <row r="47" spans="1:8" ht="14.25" customHeight="1" x14ac:dyDescent="0.45"/>
    <row r="48" spans="1: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  <row r="1001" ht="14.25" customHeight="1" x14ac:dyDescent="0.45"/>
    <row r="1002" ht="14.25" customHeight="1" x14ac:dyDescent="0.45"/>
  </sheetData>
  <autoFilter ref="A1:H36" xr:uid="{00000000-0009-0000-0000-000003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72"/>
  <sheetViews>
    <sheetView workbookViewId="0"/>
  </sheetViews>
  <sheetFormatPr defaultColWidth="14.3984375" defaultRowHeight="15" customHeight="1" x14ac:dyDescent="0.45"/>
  <cols>
    <col min="1" max="1" width="23.86328125" customWidth="1"/>
    <col min="2" max="2" width="59.73046875" customWidth="1"/>
    <col min="3" max="3" width="17.86328125" customWidth="1"/>
    <col min="4" max="4" width="14.86328125" customWidth="1"/>
    <col min="5" max="5" width="12.86328125" customWidth="1"/>
  </cols>
  <sheetData>
    <row r="1" spans="1:6" x14ac:dyDescent="0.45">
      <c r="A1" s="25" t="str">
        <f ca="1">IFERROR(__xludf.DUMMYFUNCTION("QUERY(MF!A:N,
""SELECT A, 
 SUM(H), 
 SUM(J), 
 SUM(J)-SUM(H)
 WHERE A IS NOT NULL
 GROUP BY A
 LABEL A 'Investor',
 SUM(H) 'Total Invested',
 SUM(J) 'Current Value',
 SUM(J)-SUM(H) 'Total Profit/Loss'"",
1)"),"Investor")</f>
        <v>Investor</v>
      </c>
      <c r="B1" s="25" t="str">
        <f ca="1">IFERROR(__xludf.DUMMYFUNCTION("""COMPUTED_VALUE"""),"Total Invested")</f>
        <v>Total Invested</v>
      </c>
      <c r="C1" s="25" t="str">
        <f ca="1">IFERROR(__xludf.DUMMYFUNCTION("""COMPUTED_VALUE"""),"Current Value")</f>
        <v>Current Value</v>
      </c>
      <c r="D1" s="25" t="str">
        <f ca="1">IFERROR(__xludf.DUMMYFUNCTION("""COMPUTED_VALUE"""),"Total Profit/Loss")</f>
        <v>Total Profit/Loss</v>
      </c>
      <c r="E1" s="25" t="s">
        <v>25</v>
      </c>
    </row>
    <row r="2" spans="1:6" x14ac:dyDescent="0.45">
      <c r="A2" s="2" t="str">
        <f ca="1">IFERROR(__xludf.DUMMYFUNCTION("""COMPUTED_VALUE"""),"Mr. Janak Khandelwal")</f>
        <v>Mr. Janak Khandelwal</v>
      </c>
      <c r="B2" s="15">
        <f ca="1">IFERROR(__xludf.DUMMYFUNCTION("""COMPUTED_VALUE"""),985662.868709599)</f>
        <v>985662.86870959902</v>
      </c>
      <c r="C2" s="15">
        <f ca="1">IFERROR(__xludf.DUMMYFUNCTION("""COMPUTED_VALUE"""),1080874.47026549)</f>
        <v>1080874.47026549</v>
      </c>
      <c r="D2" s="15">
        <f ca="1">IFERROR(__xludf.DUMMYFUNCTION("""COMPUTED_VALUE"""),95211.6015559003)</f>
        <v>95211.601555900299</v>
      </c>
      <c r="E2" s="17">
        <f t="shared" ref="E2:E4" ca="1" si="0">D2/B2</f>
        <v>9.6596518524177083E-2</v>
      </c>
    </row>
    <row r="3" spans="1:6" x14ac:dyDescent="0.45">
      <c r="A3" s="2" t="str">
        <f ca="1">IFERROR(__xludf.DUMMYFUNCTION("""COMPUTED_VALUE"""),"Mr. RAJESH KUMAR")</f>
        <v>Mr. RAJESH KUMAR</v>
      </c>
      <c r="B3" s="15">
        <f ca="1">IFERROR(__xludf.DUMMYFUNCTION("""COMPUTED_VALUE"""),824208.854736)</f>
        <v>824208.85473599995</v>
      </c>
      <c r="C3" s="15">
        <f ca="1">IFERROR(__xludf.DUMMYFUNCTION("""COMPUTED_VALUE"""),876838.714653999)</f>
        <v>876838.71465399896</v>
      </c>
      <c r="D3" s="15">
        <f ca="1">IFERROR(__xludf.DUMMYFUNCTION("""COMPUTED_VALUE"""),52629.8599179998)</f>
        <v>52629.859917999798</v>
      </c>
      <c r="E3" s="17">
        <f t="shared" ca="1" si="0"/>
        <v>6.3855004245079991E-2</v>
      </c>
    </row>
    <row r="4" spans="1:6" x14ac:dyDescent="0.45">
      <c r="A4" s="2" t="str">
        <f ca="1">IFERROR(__xludf.DUMMYFUNCTION("""COMPUTED_VALUE"""),"Mrs. KAVITA KHANDELWAL")</f>
        <v>Mrs. KAVITA KHANDELWAL</v>
      </c>
      <c r="B4" s="15">
        <f ca="1">IFERROR(__xludf.DUMMYFUNCTION("""COMPUTED_VALUE"""),537175.92188)</f>
        <v>537175.92188000004</v>
      </c>
      <c r="C4" s="15">
        <f ca="1">IFERROR(__xludf.DUMMYFUNCTION("""COMPUTED_VALUE"""),963815.8324034)</f>
        <v>963815.83240339998</v>
      </c>
      <c r="D4" s="15">
        <f ca="1">IFERROR(__xludf.DUMMYFUNCTION("""COMPUTED_VALUE"""),426639.910523399)</f>
        <v>426639.91052339901</v>
      </c>
      <c r="E4" s="17">
        <f t="shared" ca="1" si="0"/>
        <v>0.79422753914630273</v>
      </c>
    </row>
    <row r="7" spans="1:6" x14ac:dyDescent="0.45">
      <c r="A7" s="25" t="str">
        <f ca="1">IFERROR(__xludf.DUMMYFUNCTION("QUERY(MF!A:N,
""SELECT A, C, 
 SUM(H), 
 SUM(J), 
 SUM(J)-SUM(H)
 WHERE A IS NOT NULL
 GROUP BY A, C
 LABEL A 'Investor',
 C 'Fund Name',
 SUM(H) 'Invested',
 SUM(J) 'Current',
 SUM(J)-SUM(H) 'P/L'"",
1)"),"Investor")</f>
        <v>Investor</v>
      </c>
      <c r="B7" s="25" t="str">
        <f ca="1">IFERROR(__xludf.DUMMYFUNCTION("""COMPUTED_VALUE"""),"Fund Name")</f>
        <v>Fund Name</v>
      </c>
      <c r="C7" s="25" t="str">
        <f ca="1">IFERROR(__xludf.DUMMYFUNCTION("""COMPUTED_VALUE"""),"Invested")</f>
        <v>Invested</v>
      </c>
      <c r="D7" s="25" t="str">
        <f ca="1">IFERROR(__xludf.DUMMYFUNCTION("""COMPUTED_VALUE"""),"Current")</f>
        <v>Current</v>
      </c>
      <c r="E7" s="25" t="str">
        <f ca="1">IFERROR(__xludf.DUMMYFUNCTION("""COMPUTED_VALUE"""),"P/L")</f>
        <v>P/L</v>
      </c>
      <c r="F7" s="25" t="s">
        <v>25</v>
      </c>
    </row>
    <row r="8" spans="1:6" x14ac:dyDescent="0.45">
      <c r="A8" s="2" t="str">
        <f ca="1">IFERROR(__xludf.DUMMYFUNCTION("""COMPUTED_VALUE"""),"Mr. Janak Khandelwal")</f>
        <v>Mr. Janak Khandelwal</v>
      </c>
      <c r="B8" s="2" t="str">
        <f ca="1">IFERROR(__xludf.DUMMYFUNCTION("""COMPUTED_VALUE"""),"HDFC LIQUID FUND - DIRECT PLAN - GROWTH OPTION")</f>
        <v>HDFC LIQUID FUND - DIRECT PLAN - GROWTH OPTION</v>
      </c>
      <c r="C8" s="15">
        <f ca="1">IFERROR(__xludf.DUMMYFUNCTION("""COMPUTED_VALUE"""),2967.639015)</f>
        <v>2967.6390150000002</v>
      </c>
      <c r="D8" s="15">
        <f ca="1">IFERROR(__xludf.DUMMYFUNCTION("""COMPUTED_VALUE"""),3053.96267)</f>
        <v>3053.9626699999999</v>
      </c>
      <c r="E8" s="15">
        <f ca="1">IFERROR(__xludf.DUMMYFUNCTION("""COMPUTED_VALUE"""),86.3236549999996)</f>
        <v>86.323654999999604</v>
      </c>
      <c r="F8" s="17">
        <f t="shared" ref="F8:F27" ca="1" si="1">E8/C8</f>
        <v>2.9088327307895161E-2</v>
      </c>
    </row>
    <row r="9" spans="1:6" x14ac:dyDescent="0.45">
      <c r="A9" s="2" t="str">
        <f ca="1">IFERROR(__xludf.DUMMYFUNCTION("""COMPUTED_VALUE"""),"Mr. Janak Khandelwal")</f>
        <v>Mr. Janak Khandelwal</v>
      </c>
      <c r="B9" s="2" t="str">
        <f ca="1">IFERROR(__xludf.DUMMYFUNCTION("""COMPUTED_VALUE"""),"HDFC MID CAP FUND - DIRECT PLAN - GROWTH OPTION")</f>
        <v>HDFC MID CAP FUND - DIRECT PLAN - GROWTH OPTION</v>
      </c>
      <c r="C9" s="15">
        <f ca="1">IFERROR(__xludf.DUMMYFUNCTION("""COMPUTED_VALUE"""),222488.03994)</f>
        <v>222488.03993999999</v>
      </c>
      <c r="D9" s="15">
        <f ca="1">IFERROR(__xludf.DUMMYFUNCTION("""COMPUTED_VALUE"""),249509.319387999)</f>
        <v>249509.31938799901</v>
      </c>
      <c r="E9" s="15">
        <f ca="1">IFERROR(__xludf.DUMMYFUNCTION("""COMPUTED_VALUE"""),27021.2794479999)</f>
        <v>27021.279447999899</v>
      </c>
      <c r="F9" s="17">
        <f t="shared" ca="1" si="1"/>
        <v>0.12145048091253323</v>
      </c>
    </row>
    <row r="10" spans="1:6" x14ac:dyDescent="0.45">
      <c r="A10" s="2" t="str">
        <f ca="1">IFERROR(__xludf.DUMMYFUNCTION("""COMPUTED_VALUE"""),"Mr. Janak Khandelwal")</f>
        <v>Mr. Janak Khandelwal</v>
      </c>
      <c r="B10" s="2" t="str">
        <f ca="1">IFERROR(__xludf.DUMMYFUNCTION("""COMPUTED_VALUE"""),"INVESCO INDIA SMALL CAP FUND - DIRECT GROWTH")</f>
        <v>INVESCO INDIA SMALL CAP FUND - DIRECT GROWTH</v>
      </c>
      <c r="C10" s="15">
        <f ca="1">IFERROR(__xludf.DUMMYFUNCTION("""COMPUTED_VALUE"""),154492.29194)</f>
        <v>154492.29194</v>
      </c>
      <c r="D10" s="15">
        <f ca="1">IFERROR(__xludf.DUMMYFUNCTION("""COMPUTED_VALUE"""),187469.46148)</f>
        <v>187469.46148</v>
      </c>
      <c r="E10" s="15">
        <f ca="1">IFERROR(__xludf.DUMMYFUNCTION("""COMPUTED_VALUE"""),32977.1695400001)</f>
        <v>32977.169540000097</v>
      </c>
      <c r="F10" s="17">
        <f t="shared" ca="1" si="1"/>
        <v>0.21345511239361642</v>
      </c>
    </row>
    <row r="11" spans="1:6" x14ac:dyDescent="0.45">
      <c r="A11" s="2" t="str">
        <f ca="1">IFERROR(__xludf.DUMMYFUNCTION("""COMPUTED_VALUE"""),"Mr. Janak Khandelwal")</f>
        <v>Mr. Janak Khandelwal</v>
      </c>
      <c r="B11" s="2" t="str">
        <f ca="1">IFERROR(__xludf.DUMMYFUNCTION("""COMPUTED_VALUE"""),"PARAG PARIKH FLEXI CAP FUND - DIRECT PLAN GROWTH")</f>
        <v>PARAG PARIKH FLEXI CAP FUND - DIRECT PLAN GROWTH</v>
      </c>
      <c r="C11" s="15">
        <f ca="1">IFERROR(__xludf.DUMMYFUNCTION("""COMPUTED_VALUE"""),234988.494738899)</f>
        <v>234988.494738899</v>
      </c>
      <c r="D11" s="15">
        <f ca="1">IFERROR(__xludf.DUMMYFUNCTION("""COMPUTED_VALUE"""),242726.0254458)</f>
        <v>242726.02544580001</v>
      </c>
      <c r="E11" s="15">
        <f ca="1">IFERROR(__xludf.DUMMYFUNCTION("""COMPUTED_VALUE"""),7737.53070690008)</f>
        <v>7737.5307069000801</v>
      </c>
      <c r="F11" s="17">
        <f t="shared" ca="1" si="1"/>
        <v>3.2927274654435422E-2</v>
      </c>
    </row>
    <row r="12" spans="1:6" x14ac:dyDescent="0.45">
      <c r="A12" s="2" t="str">
        <f ca="1">IFERROR(__xludf.DUMMYFUNCTION("""COMPUTED_VALUE"""),"Mr. Janak Khandelwal")</f>
        <v>Mr. Janak Khandelwal</v>
      </c>
      <c r="B12" s="2" t="str">
        <f ca="1">IFERROR(__xludf.DUMMYFUNCTION("""COMPUTED_VALUE"""),"PARAG PARIKH LIQUID FUND-DIRECT PLAN-GROWTH")</f>
        <v>PARAG PARIKH LIQUID FUND-DIRECT PLAN-GROWTH</v>
      </c>
      <c r="C12" s="15">
        <f ca="1">IFERROR(__xludf.DUMMYFUNCTION("""COMPUTED_VALUE"""),143992.8347742)</f>
        <v>143992.83477419999</v>
      </c>
      <c r="D12" s="15">
        <f ca="1">IFERROR(__xludf.DUMMYFUNCTION("""COMPUTED_VALUE"""),147805.393183799)</f>
        <v>147805.39318379899</v>
      </c>
      <c r="E12" s="15">
        <f ca="1">IFERROR(__xludf.DUMMYFUNCTION("""COMPUTED_VALUE"""),3812.55840959996)</f>
        <v>3812.5584095999602</v>
      </c>
      <c r="F12" s="17">
        <f t="shared" ca="1" si="1"/>
        <v>2.6477417543578203E-2</v>
      </c>
    </row>
    <row r="13" spans="1:6" x14ac:dyDescent="0.45">
      <c r="A13" s="2" t="str">
        <f ca="1">IFERROR(__xludf.DUMMYFUNCTION("""COMPUTED_VALUE"""),"Mr. Janak Khandelwal")</f>
        <v>Mr. Janak Khandelwal</v>
      </c>
      <c r="B13" s="2" t="str">
        <f ca="1">IFERROR(__xludf.DUMMYFUNCTION("""COMPUTED_VALUE"""),"SBI Contra Direct Plan Growth")</f>
        <v>SBI Contra Direct Plan Growth</v>
      </c>
      <c r="C13" s="15">
        <f ca="1">IFERROR(__xludf.DUMMYFUNCTION("""COMPUTED_VALUE"""),65738.9397)</f>
        <v>65738.939700000003</v>
      </c>
      <c r="D13" s="15">
        <f ca="1">IFERROR(__xludf.DUMMYFUNCTION("""COMPUTED_VALUE"""),67653.2041099999)</f>
        <v>67653.204109999904</v>
      </c>
      <c r="E13" s="15">
        <f ca="1">IFERROR(__xludf.DUMMYFUNCTION("""COMPUTED_VALUE"""),1914.26440999998)</f>
        <v>1914.26440999998</v>
      </c>
      <c r="F13" s="17">
        <f t="shared" ca="1" si="1"/>
        <v>2.911918596095002E-2</v>
      </c>
    </row>
    <row r="14" spans="1:6" x14ac:dyDescent="0.45">
      <c r="A14" s="2" t="str">
        <f ca="1">IFERROR(__xludf.DUMMYFUNCTION("""COMPUTED_VALUE"""),"Mr. Janak Khandelwal")</f>
        <v>Mr. Janak Khandelwal</v>
      </c>
      <c r="B14" s="2" t="str">
        <f ca="1">IFERROR(__xludf.DUMMYFUNCTION("""COMPUTED_VALUE"""),"UTI NIFTY NEXT 50 INDEX FUND - DIRECT GROWTH PLAN")</f>
        <v>UTI NIFTY NEXT 50 INDEX FUND - DIRECT GROWTH PLAN</v>
      </c>
      <c r="C14" s="15">
        <f ca="1">IFERROR(__xludf.DUMMYFUNCTION("""COMPUTED_VALUE"""),160994.6286015)</f>
        <v>160994.62860150001</v>
      </c>
      <c r="D14" s="15">
        <f ca="1">IFERROR(__xludf.DUMMYFUNCTION("""COMPUTED_VALUE"""),182657.103987899)</f>
        <v>182657.103987899</v>
      </c>
      <c r="E14" s="15">
        <f ca="1">IFERROR(__xludf.DUMMYFUNCTION("""COMPUTED_VALUE"""),21662.4753863999)</f>
        <v>21662.475386399899</v>
      </c>
      <c r="F14" s="17">
        <f t="shared" ca="1" si="1"/>
        <v>0.13455402565025743</v>
      </c>
    </row>
    <row r="15" spans="1:6" x14ac:dyDescent="0.45">
      <c r="A15" s="2" t="str">
        <f ca="1">IFERROR(__xludf.DUMMYFUNCTION("""COMPUTED_VALUE"""),"Mr. RAJESH KUMAR")</f>
        <v>Mr. RAJESH KUMAR</v>
      </c>
      <c r="B15" s="2" t="str">
        <f ca="1">IFERROR(__xludf.DUMMYFUNCTION("""COMPUTED_VALUE"""),"DSP NIFTY NEXT 50 INDEX FUND - DIRECT - GROWTH")</f>
        <v>DSP NIFTY NEXT 50 INDEX FUND - DIRECT - GROWTH</v>
      </c>
      <c r="C15" s="15">
        <f ca="1">IFERROR(__xludf.DUMMYFUNCTION("""COMPUTED_VALUE"""),170241.4339301)</f>
        <v>170241.4339301</v>
      </c>
      <c r="D15" s="15">
        <f ca="1">IFERROR(__xludf.DUMMYFUNCTION("""COMPUTED_VALUE"""),182129.6630916)</f>
        <v>182129.6630916</v>
      </c>
      <c r="E15" s="15">
        <f ca="1">IFERROR(__xludf.DUMMYFUNCTION("""COMPUTED_VALUE"""),11888.2291615)</f>
        <v>11888.229161499999</v>
      </c>
      <c r="F15" s="17">
        <f t="shared" ca="1" si="1"/>
        <v>6.983158498524647E-2</v>
      </c>
    </row>
    <row r="16" spans="1:6" x14ac:dyDescent="0.45">
      <c r="A16" s="2" t="str">
        <f ca="1">IFERROR(__xludf.DUMMYFUNCTION("""COMPUTED_VALUE"""),"Mr. RAJESH KUMAR")</f>
        <v>Mr. RAJESH KUMAR</v>
      </c>
      <c r="B16" s="2" t="str">
        <f ca="1">IFERROR(__xludf.DUMMYFUNCTION("""COMPUTED_VALUE"""),"EDELWEISS MID CAP FUND - DIRECT PLAN GROWTH OPTION")</f>
        <v>EDELWEISS MID CAP FUND - DIRECT PLAN GROWTH OPTION</v>
      </c>
      <c r="C16" s="15">
        <f ca="1">IFERROR(__xludf.DUMMYFUNCTION("""COMPUTED_VALUE"""),181289.145342)</f>
        <v>181289.145342</v>
      </c>
      <c r="D16" s="15">
        <f ca="1">IFERROR(__xludf.DUMMYFUNCTION("""COMPUTED_VALUE"""),192432.467733)</f>
        <v>192432.467733</v>
      </c>
      <c r="E16" s="15">
        <f ca="1">IFERROR(__xludf.DUMMYFUNCTION("""COMPUTED_VALUE"""),11143.3223909999)</f>
        <v>11143.3223909999</v>
      </c>
      <c r="F16" s="17">
        <f t="shared" ca="1" si="1"/>
        <v>6.1467124079481662E-2</v>
      </c>
    </row>
    <row r="17" spans="1:12" x14ac:dyDescent="0.45">
      <c r="A17" s="2" t="str">
        <f ca="1">IFERROR(__xludf.DUMMYFUNCTION("""COMPUTED_VALUE"""),"Mr. RAJESH KUMAR")</f>
        <v>Mr. RAJESH KUMAR</v>
      </c>
      <c r="B17" s="2" t="str">
        <f ca="1">IFERROR(__xludf.DUMMYFUNCTION("""COMPUTED_VALUE"""),"ICICI PRUDENTIAL INFRASTRUCTURE FUND - DIRECT PLAN - GROWTH")</f>
        <v>ICICI PRUDENTIAL INFRASTRUCTURE FUND - DIRECT PLAN - GROWTH</v>
      </c>
      <c r="C17" s="15">
        <f ca="1">IFERROR(__xludf.DUMMYFUNCTION("""COMPUTED_VALUE"""),150992.39356)</f>
        <v>150992.39356</v>
      </c>
      <c r="D17" s="15">
        <f ca="1">IFERROR(__xludf.DUMMYFUNCTION("""COMPUTED_VALUE"""),155929.40288)</f>
        <v>155929.40288000001</v>
      </c>
      <c r="E17" s="15">
        <f ca="1">IFERROR(__xludf.DUMMYFUNCTION("""COMPUTED_VALUE"""),4937.00932000001)</f>
        <v>4937.0093200000101</v>
      </c>
      <c r="F17" s="17">
        <f t="shared" ca="1" si="1"/>
        <v>3.2697073035259788E-2</v>
      </c>
    </row>
    <row r="18" spans="1:12" x14ac:dyDescent="0.45">
      <c r="A18" s="2" t="str">
        <f ca="1">IFERROR(__xludf.DUMMYFUNCTION("""COMPUTED_VALUE"""),"Mr. RAJESH KUMAR")</f>
        <v>Mr. RAJESH KUMAR</v>
      </c>
      <c r="B18" s="2" t="str">
        <f ca="1">IFERROR(__xludf.DUMMYFUNCTION("""COMPUTED_VALUE"""),"ITI SMALL CAP FUND DIRECT PLAN GROWTH")</f>
        <v>ITI SMALL CAP FUND DIRECT PLAN GROWTH</v>
      </c>
      <c r="C18" s="15">
        <f ca="1">IFERROR(__xludf.DUMMYFUNCTION("""COMPUTED_VALUE"""),150492.4784918)</f>
        <v>150492.47849179999</v>
      </c>
      <c r="D18" s="15">
        <f ca="1">IFERROR(__xludf.DUMMYFUNCTION("""COMPUTED_VALUE"""),172993.03338)</f>
        <v>172993.03338000001</v>
      </c>
      <c r="E18" s="15">
        <f ca="1">IFERROR(__xludf.DUMMYFUNCTION("""COMPUTED_VALUE"""),22500.5548882)</f>
        <v>22500.5548882</v>
      </c>
      <c r="F18" s="17">
        <f t="shared" ca="1" si="1"/>
        <v>0.14951282026646937</v>
      </c>
    </row>
    <row r="19" spans="1:12" x14ac:dyDescent="0.45">
      <c r="A19" s="2" t="str">
        <f ca="1">IFERROR(__xludf.DUMMYFUNCTION("""COMPUTED_VALUE"""),"Mr. RAJESH KUMAR")</f>
        <v>Mr. RAJESH KUMAR</v>
      </c>
      <c r="B19" s="2" t="str">
        <f ca="1">IFERROR(__xludf.DUMMYFUNCTION("""COMPUTED_VALUE"""),"PARAG PARIKH FLEXI CAP FUND - DIRECT PLAN GROWTH")</f>
        <v>PARAG PARIKH FLEXI CAP FUND - DIRECT PLAN GROWTH</v>
      </c>
      <c r="C19" s="15">
        <f ca="1">IFERROR(__xludf.DUMMYFUNCTION("""COMPUTED_VALUE"""),171193.4034121)</f>
        <v>171193.40341209999</v>
      </c>
      <c r="D19" s="15">
        <f ca="1">IFERROR(__xludf.DUMMYFUNCTION("""COMPUTED_VALUE"""),173354.1475694)</f>
        <v>173354.1475694</v>
      </c>
      <c r="E19" s="15">
        <f ca="1">IFERROR(__xludf.DUMMYFUNCTION("""COMPUTED_VALUE"""),2160.74415730003)</f>
        <v>2160.7441573000301</v>
      </c>
      <c r="F19" s="17">
        <f t="shared" ca="1" si="1"/>
        <v>1.2621655474064302E-2</v>
      </c>
    </row>
    <row r="20" spans="1:12" x14ac:dyDescent="0.45">
      <c r="A20" s="2" t="str">
        <f ca="1">IFERROR(__xludf.DUMMYFUNCTION("""COMPUTED_VALUE"""),"Mrs. KAVITA KHANDELWAL")</f>
        <v>Mrs. KAVITA KHANDELWAL</v>
      </c>
      <c r="B20" s="2" t="str">
        <f ca="1">IFERROR(__xludf.DUMMYFUNCTION("""COMPUTED_VALUE"""),"Axis Large Cap Fund Direct Growth")</f>
        <v>Axis Large Cap Fund Direct Growth</v>
      </c>
      <c r="C20" s="15">
        <f ca="1">IFERROR(__xludf.DUMMYFUNCTION("""COMPUTED_VALUE"""),25997.52584)</f>
        <v>25997.525839999998</v>
      </c>
      <c r="D20" s="15">
        <f ca="1">IFERROR(__xludf.DUMMYFUNCTION("""COMPUTED_VALUE"""),30184.50474)</f>
        <v>30184.50474</v>
      </c>
      <c r="E20" s="15">
        <f ca="1">IFERROR(__xludf.DUMMYFUNCTION("""COMPUTED_VALUE"""),4186.9789)</f>
        <v>4186.9789000000001</v>
      </c>
      <c r="F20" s="17">
        <f t="shared" ca="1" si="1"/>
        <v>0.16105297580117725</v>
      </c>
    </row>
    <row r="21" spans="1:12" x14ac:dyDescent="0.45">
      <c r="A21" s="2" t="str">
        <f ca="1">IFERROR(__xludf.DUMMYFUNCTION("""COMPUTED_VALUE"""),"Mrs. KAVITA KHANDELWAL")</f>
        <v>Mrs. KAVITA KHANDELWAL</v>
      </c>
      <c r="B21" s="2" t="str">
        <f ca="1">IFERROR(__xludf.DUMMYFUNCTION("""COMPUTED_VALUE"""),"DSP Large Cap Fund Growth")</f>
        <v>DSP Large Cap Fund Growth</v>
      </c>
      <c r="C21" s="15">
        <f ca="1">IFERROR(__xludf.DUMMYFUNCTION("""COMPUTED_VALUE"""),49998.9733599999)</f>
        <v>49998.973359999902</v>
      </c>
      <c r="D21" s="15">
        <f ca="1">IFERROR(__xludf.DUMMYFUNCTION("""COMPUTED_VALUE"""),124241.60388)</f>
        <v>124241.60388</v>
      </c>
      <c r="E21" s="15">
        <f ca="1">IFERROR(__xludf.DUMMYFUNCTION("""COMPUTED_VALUE"""),74242.63052)</f>
        <v>74242.630520000006</v>
      </c>
      <c r="F21" s="17">
        <f t="shared" ca="1" si="1"/>
        <v>1.4848830992077025</v>
      </c>
    </row>
    <row r="22" spans="1:12" x14ac:dyDescent="0.45">
      <c r="A22" s="2" t="str">
        <f ca="1">IFERROR(__xludf.DUMMYFUNCTION("""COMPUTED_VALUE"""),"Mrs. KAVITA KHANDELWAL")</f>
        <v>Mrs. KAVITA KHANDELWAL</v>
      </c>
      <c r="B22" s="2" t="str">
        <f ca="1">IFERROR(__xludf.DUMMYFUNCTION("""COMPUTED_VALUE"""),"HDFC Large Cap Fund Growth - Regular")</f>
        <v>HDFC Large Cap Fund Growth - Regular</v>
      </c>
      <c r="C22" s="15">
        <f ca="1">IFERROR(__xludf.DUMMYFUNCTION("""COMPUTED_VALUE"""),50000.51721)</f>
        <v>50000.517209999998</v>
      </c>
      <c r="D22" s="15">
        <f ca="1">IFERROR(__xludf.DUMMYFUNCTION("""COMPUTED_VALUE"""),121800.439109999)</f>
        <v>121800.439109999</v>
      </c>
      <c r="E22" s="15">
        <f ca="1">IFERROR(__xludf.DUMMYFUNCTION("""COMPUTED_VALUE"""),71799.9218999999)</f>
        <v>71799.921899999899</v>
      </c>
      <c r="F22" s="17">
        <f t="shared" ca="1" si="1"/>
        <v>1.4359835838986095</v>
      </c>
    </row>
    <row r="23" spans="1:12" x14ac:dyDescent="0.45">
      <c r="A23" s="2" t="str">
        <f ca="1">IFERROR(__xludf.DUMMYFUNCTION("""COMPUTED_VALUE"""),"Mrs. KAVITA KHANDELWAL")</f>
        <v>Mrs. KAVITA KHANDELWAL</v>
      </c>
      <c r="B23" s="2" t="str">
        <f ca="1">IFERROR(__xludf.DUMMYFUNCTION("""COMPUTED_VALUE"""),"ICICI Prudential BHARAT 22 FOF Direct Growth")</f>
        <v>ICICI Prudential BHARAT 22 FOF Direct Growth</v>
      </c>
      <c r="C23" s="15">
        <f ca="1">IFERROR(__xludf.DUMMYFUNCTION("""COMPUTED_VALUE"""),150011.916959999)</f>
        <v>150011.91695999901</v>
      </c>
      <c r="D23" s="15">
        <f ca="1">IFERROR(__xludf.DUMMYFUNCTION("""COMPUTED_VALUE"""),152530.022505599)</f>
        <v>152530.02250559899</v>
      </c>
      <c r="E23" s="15">
        <f ca="1">IFERROR(__xludf.DUMMYFUNCTION("""COMPUTED_VALUE"""),2518.1055456)</f>
        <v>2518.1055455999999</v>
      </c>
      <c r="F23" s="17">
        <f t="shared" ca="1" si="1"/>
        <v>1.678603671381293E-2</v>
      </c>
    </row>
    <row r="24" spans="1:12" x14ac:dyDescent="0.45">
      <c r="A24" s="2" t="str">
        <f ca="1">IFERROR(__xludf.DUMMYFUNCTION("""COMPUTED_VALUE"""),"Mrs. KAVITA KHANDELWAL")</f>
        <v>Mrs. KAVITA KHANDELWAL</v>
      </c>
      <c r="B24" s="2" t="str">
        <f ca="1">IFERROR(__xludf.DUMMYFUNCTION("""COMPUTED_VALUE"""),"ICICI Prudential Value Discovery Fund Direct Growth")</f>
        <v>ICICI Prudential Value Discovery Fund Direct Growth</v>
      </c>
      <c r="C24" s="15">
        <f ca="1">IFERROR(__xludf.DUMMYFUNCTION("""COMPUTED_VALUE"""),49999.99528)</f>
        <v>49999.995280000003</v>
      </c>
      <c r="D24" s="15">
        <f ca="1">IFERROR(__xludf.DUMMYFUNCTION("""COMPUTED_VALUE"""),164311.69436)</f>
        <v>164311.69435999999</v>
      </c>
      <c r="E24" s="15">
        <f ca="1">IFERROR(__xludf.DUMMYFUNCTION("""COMPUTED_VALUE"""),114311.69908)</f>
        <v>114311.69908000001</v>
      </c>
      <c r="F24" s="17">
        <f t="shared" ca="1" si="1"/>
        <v>2.2862341974205083</v>
      </c>
    </row>
    <row r="25" spans="1:12" x14ac:dyDescent="0.45">
      <c r="A25" s="2" t="str">
        <f ca="1">IFERROR(__xludf.DUMMYFUNCTION("""COMPUTED_VALUE"""),"Mrs. KAVITA KHANDELWAL")</f>
        <v>Mrs. KAVITA KHANDELWAL</v>
      </c>
      <c r="B25" s="2" t="str">
        <f ca="1">IFERROR(__xludf.DUMMYFUNCTION("""COMPUTED_VALUE"""),"Kotak Hybrid Equity Fund Growth")</f>
        <v>Kotak Hybrid Equity Fund Growth</v>
      </c>
      <c r="C25" s="15">
        <f ca="1">IFERROR(__xludf.DUMMYFUNCTION("""COMPUTED_VALUE"""),9968.48587)</f>
        <v>9968.4858700000004</v>
      </c>
      <c r="D25" s="15">
        <f ca="1">IFERROR(__xludf.DUMMYFUNCTION("""COMPUTED_VALUE"""),12947.2786509999)</f>
        <v>12947.2786509999</v>
      </c>
      <c r="E25" s="15">
        <f ca="1">IFERROR(__xludf.DUMMYFUNCTION("""COMPUTED_VALUE"""),2978.79278099999)</f>
        <v>2978.7927809999901</v>
      </c>
      <c r="F25" s="17">
        <f t="shared" ca="1" si="1"/>
        <v>0.29882098644134308</v>
      </c>
    </row>
    <row r="26" spans="1:12" x14ac:dyDescent="0.45">
      <c r="A26" s="2" t="str">
        <f ca="1">IFERROR(__xludf.DUMMYFUNCTION("""COMPUTED_VALUE"""),"Mrs. KAVITA KHANDELWAL")</f>
        <v>Mrs. KAVITA KHANDELWAL</v>
      </c>
      <c r="B26" s="2" t="str">
        <f ca="1">IFERROR(__xludf.DUMMYFUNCTION("""COMPUTED_VALUE"""),"Kotak Infrastructure &amp; Economic Reform Fund Direct Growth")</f>
        <v>Kotak Infrastructure &amp; Economic Reform Fund Direct Growth</v>
      </c>
      <c r="C26" s="15">
        <f ca="1">IFERROR(__xludf.DUMMYFUNCTION("""COMPUTED_VALUE"""),101203.94871)</f>
        <v>101203.94871</v>
      </c>
      <c r="D26" s="15">
        <f ca="1">IFERROR(__xludf.DUMMYFUNCTION("""COMPUTED_VALUE"""),174756.32046)</f>
        <v>174756.32045999999</v>
      </c>
      <c r="E26" s="15">
        <f ca="1">IFERROR(__xludf.DUMMYFUNCTION("""COMPUTED_VALUE"""),73552.37175)</f>
        <v>73552.371750000006</v>
      </c>
      <c r="F26" s="17">
        <f t="shared" ca="1" si="1"/>
        <v>0.72677373449888194</v>
      </c>
    </row>
    <row r="27" spans="1:12" x14ac:dyDescent="0.45">
      <c r="A27" s="2" t="str">
        <f ca="1">IFERROR(__xludf.DUMMYFUNCTION("""COMPUTED_VALUE"""),"Mrs. KAVITA KHANDELWAL")</f>
        <v>Mrs. KAVITA KHANDELWAL</v>
      </c>
      <c r="B27" s="2" t="str">
        <f ca="1">IFERROR(__xludf.DUMMYFUNCTION("""COMPUTED_VALUE"""),"Quant Small Cap Fund Direct Plan Growth")</f>
        <v>Quant Small Cap Fund Direct Plan Growth</v>
      </c>
      <c r="C27" s="15">
        <f ca="1">IFERROR(__xludf.DUMMYFUNCTION("""COMPUTED_VALUE"""),99994.55865)</f>
        <v>99994.558650000006</v>
      </c>
      <c r="D27" s="15">
        <f ca="1">IFERROR(__xludf.DUMMYFUNCTION("""COMPUTED_VALUE"""),183043.9686968)</f>
        <v>183043.9686968</v>
      </c>
      <c r="E27" s="15">
        <f ca="1">IFERROR(__xludf.DUMMYFUNCTION("""COMPUTED_VALUE"""),83049.4100468)</f>
        <v>83049.410046799996</v>
      </c>
      <c r="F27" s="17">
        <f t="shared" ca="1" si="1"/>
        <v>0.83053929301782048</v>
      </c>
    </row>
    <row r="30" spans="1:12" x14ac:dyDescent="0.45">
      <c r="A30" s="25"/>
      <c r="B30" s="25" t="str">
        <f ca="1">IFERROR(__xludf.DUMMYFUNCTION("QUERY(MF!A:N,
""SELECT C,
 SUM(H),
 SUM(J),
 SUM(J)-SUM(H)
 WHERE C IS NOT NULL
 GROUP BY C
 LABEL C 'Fund Name',
 SUM(H) 'Invested',
 SUM(J) 'Current',
 SUM(J)-SUM(H) 'Profit'"",
1)"),"Fund Name")</f>
        <v>Fund Name</v>
      </c>
      <c r="C30" s="25" t="str">
        <f ca="1">IFERROR(__xludf.DUMMYFUNCTION("""COMPUTED_VALUE"""),"Invested")</f>
        <v>Invested</v>
      </c>
      <c r="D30" s="25" t="str">
        <f ca="1">IFERROR(__xludf.DUMMYFUNCTION("""COMPUTED_VALUE"""),"Current")</f>
        <v>Current</v>
      </c>
      <c r="E30" s="25" t="str">
        <f ca="1">IFERROR(__xludf.DUMMYFUNCTION("""COMPUTED_VALUE"""),"Profit")</f>
        <v>Profit</v>
      </c>
      <c r="F30" s="25" t="s">
        <v>150</v>
      </c>
      <c r="G30" s="25" t="s">
        <v>151</v>
      </c>
      <c r="H30" s="25" t="s">
        <v>152</v>
      </c>
      <c r="I30" s="25" t="s">
        <v>153</v>
      </c>
      <c r="J30" s="25" t="s">
        <v>154</v>
      </c>
      <c r="K30" s="25" t="s">
        <v>155</v>
      </c>
      <c r="L30" s="25" t="s">
        <v>156</v>
      </c>
    </row>
    <row r="31" spans="1:12" x14ac:dyDescent="0.45">
      <c r="B31" s="2" t="str">
        <f ca="1">IFERROR(__xludf.DUMMYFUNCTION("""COMPUTED_VALUE"""),"Axis Large Cap Fund Direct Growth")</f>
        <v>Axis Large Cap Fund Direct Growth</v>
      </c>
      <c r="C31" s="15">
        <f ca="1">IFERROR(__xludf.DUMMYFUNCTION("""COMPUTED_VALUE"""),25997.52584)</f>
        <v>25997.525839999998</v>
      </c>
      <c r="D31" s="15">
        <f ca="1">IFERROR(__xludf.DUMMYFUNCTION("""COMPUTED_VALUE"""),30184.50474)</f>
        <v>30184.50474</v>
      </c>
      <c r="E31" s="26">
        <f ca="1">IFERROR(__xludf.DUMMYFUNCTION("""COMPUTED_VALUE"""),4186.9789)</f>
        <v>4186.9789000000001</v>
      </c>
      <c r="F31" s="17">
        <f t="shared" ref="F31:F50" ca="1" si="2">IFERROR(E31/C31,0)</f>
        <v>0.16105297580117725</v>
      </c>
      <c r="G31" s="15">
        <f ca="1">IFERROR(__xludf.DUMMYFUNCTION("IFERROR(
AVERAGE(
FILTER(
TODAY()-MF!F:F,
MF!D:D=B31,
ISNUMBER(MF!F:F)
)
),
0
)"),0)</f>
        <v>0</v>
      </c>
      <c r="H31" s="17">
        <f t="shared" ref="H31:H50" ca="1" si="3">IF(OR(G31=0,C31=0),
0,
POWER(D31/C31, 365/G31)-1
)</f>
        <v>0</v>
      </c>
      <c r="I31" s="15">
        <f t="shared" ref="I31:I50" ca="1" si="4">MIN(100,
 (IFERROR(F31,0)*60) +
 (IF(G31&gt;365,20,10)) +
 (IF(E31&gt;0,20,0))
)</f>
        <v>39.663178548070633</v>
      </c>
      <c r="J31" s="15">
        <f ca="1">IFERROR(__xludf.DUMMYFUNCTION("STDEV(FILTER(F:F,F:F&lt;&gt;""""))"),0.622430003254279)</f>
        <v>0.622430003254279</v>
      </c>
      <c r="K31" s="15">
        <f t="shared" ref="K31:K50" ca="1" si="5">C31 / SUM(C:C)</f>
        <v>2.6094933128245268E-3</v>
      </c>
      <c r="L31" s="2" t="str">
        <f t="shared" ref="L31:L50" ca="1" si="6">IF(C31/SUM(C:C)&gt;0.4,"HIGH CONCENTRATION","OK")</f>
        <v>OK</v>
      </c>
    </row>
    <row r="32" spans="1:12" x14ac:dyDescent="0.45">
      <c r="B32" s="2" t="str">
        <f ca="1">IFERROR(__xludf.DUMMYFUNCTION("""COMPUTED_VALUE"""),"DSP Large Cap Fund Growth")</f>
        <v>DSP Large Cap Fund Growth</v>
      </c>
      <c r="C32" s="15">
        <f ca="1">IFERROR(__xludf.DUMMYFUNCTION("""COMPUTED_VALUE"""),49998.9733599999)</f>
        <v>49998.973359999902</v>
      </c>
      <c r="D32" s="15">
        <f ca="1">IFERROR(__xludf.DUMMYFUNCTION("""COMPUTED_VALUE"""),124241.60388)</f>
        <v>124241.60388</v>
      </c>
      <c r="E32" s="26">
        <f ca="1">IFERROR(__xludf.DUMMYFUNCTION("""COMPUTED_VALUE"""),74242.63052)</f>
        <v>74242.630520000006</v>
      </c>
      <c r="F32" s="17">
        <f t="shared" ca="1" si="2"/>
        <v>1.4848830992077025</v>
      </c>
      <c r="G32" s="15">
        <f ca="1">IFERROR(__xludf.DUMMYFUNCTION("IFERROR(
AVERAGE(
FILTER(
TODAY()-MF!F:F,
MF!D:D=B32,
ISNUMBER(MF!F:F)
)
),
0
)"),0)</f>
        <v>0</v>
      </c>
      <c r="H32" s="17">
        <f t="shared" ca="1" si="3"/>
        <v>0</v>
      </c>
      <c r="I32" s="15">
        <f t="shared" ca="1" si="4"/>
        <v>100</v>
      </c>
      <c r="J32" s="15">
        <f ca="1">IFERROR(__xludf.DUMMYFUNCTION("STDEV(FILTER(F:F,F:F&lt;&gt;""""))"),0.622430003254279)</f>
        <v>0.622430003254279</v>
      </c>
      <c r="K32" s="15">
        <f t="shared" ca="1" si="5"/>
        <v>5.0186309048788858E-3</v>
      </c>
      <c r="L32" s="2" t="str">
        <f t="shared" ca="1" si="6"/>
        <v>OK</v>
      </c>
    </row>
    <row r="33" spans="2:12" x14ac:dyDescent="0.45">
      <c r="B33" s="2" t="str">
        <f ca="1">IFERROR(__xludf.DUMMYFUNCTION("""COMPUTED_VALUE"""),"DSP NIFTY NEXT 50 INDEX FUND - DIRECT - GROWTH")</f>
        <v>DSP NIFTY NEXT 50 INDEX FUND - DIRECT - GROWTH</v>
      </c>
      <c r="C33" s="15">
        <f ca="1">IFERROR(__xludf.DUMMYFUNCTION("""COMPUTED_VALUE"""),170241.4339301)</f>
        <v>170241.4339301</v>
      </c>
      <c r="D33" s="15">
        <f ca="1">IFERROR(__xludf.DUMMYFUNCTION("""COMPUTED_VALUE"""),182129.6630916)</f>
        <v>182129.6630916</v>
      </c>
      <c r="E33" s="26">
        <f ca="1">IFERROR(__xludf.DUMMYFUNCTION("""COMPUTED_VALUE"""),11888.2291615)</f>
        <v>11888.229161499999</v>
      </c>
      <c r="F33" s="17">
        <f t="shared" ca="1" si="2"/>
        <v>6.983158498524647E-2</v>
      </c>
      <c r="G33" s="15">
        <f ca="1">IFERROR(__xludf.DUMMYFUNCTION("IFERROR(
AVERAGE(
FILTER(
TODAY()-MF!F:F,
MF!D:D=B33,
ISNUMBER(MF!F:F)
)
),
0
)"),0)</f>
        <v>0</v>
      </c>
      <c r="H33" s="17">
        <f t="shared" ca="1" si="3"/>
        <v>0</v>
      </c>
      <c r="I33" s="15">
        <f t="shared" ca="1" si="4"/>
        <v>34.189895099114793</v>
      </c>
      <c r="J33" s="15">
        <f ca="1">IFERROR(__xludf.DUMMYFUNCTION("STDEV(FILTER(F:F,F:F&lt;&gt;""""))"),0.622430003254279)</f>
        <v>0.622430003254279</v>
      </c>
      <c r="K33" s="15">
        <f t="shared" ca="1" si="5"/>
        <v>1.7087929295284604E-2</v>
      </c>
      <c r="L33" s="2" t="str">
        <f t="shared" ca="1" si="6"/>
        <v>OK</v>
      </c>
    </row>
    <row r="34" spans="2:12" x14ac:dyDescent="0.45">
      <c r="B34" s="2" t="str">
        <f ca="1">IFERROR(__xludf.DUMMYFUNCTION("""COMPUTED_VALUE"""),"EDELWEISS MID CAP FUND - DIRECT PLAN GROWTH OPTION")</f>
        <v>EDELWEISS MID CAP FUND - DIRECT PLAN GROWTH OPTION</v>
      </c>
      <c r="C34" s="15">
        <f ca="1">IFERROR(__xludf.DUMMYFUNCTION("""COMPUTED_VALUE"""),181289.145342)</f>
        <v>181289.145342</v>
      </c>
      <c r="D34" s="15">
        <f ca="1">IFERROR(__xludf.DUMMYFUNCTION("""COMPUTED_VALUE"""),192432.467733)</f>
        <v>192432.467733</v>
      </c>
      <c r="E34" s="26">
        <f ca="1">IFERROR(__xludf.DUMMYFUNCTION("""COMPUTED_VALUE"""),11143.3223909999)</f>
        <v>11143.3223909999</v>
      </c>
      <c r="F34" s="17">
        <f t="shared" ca="1" si="2"/>
        <v>6.1467124079481662E-2</v>
      </c>
      <c r="G34" s="15">
        <f ca="1">IFERROR(__xludf.DUMMYFUNCTION("IFERROR(
AVERAGE(
FILTER(
TODAY()-MF!F:F,
MF!D:D=B34,
ISNUMBER(MF!F:F)
)
),
0
)"),0)</f>
        <v>0</v>
      </c>
      <c r="H34" s="17">
        <f t="shared" ca="1" si="3"/>
        <v>0</v>
      </c>
      <c r="I34" s="15">
        <f t="shared" ca="1" si="4"/>
        <v>33.688027444768899</v>
      </c>
      <c r="J34" s="15">
        <f ca="1">IFERROR(__xludf.DUMMYFUNCTION("STDEV(FILTER(F:F,F:F&lt;&gt;""""))"),0.622430003254279)</f>
        <v>0.622430003254279</v>
      </c>
      <c r="K34" s="15">
        <f t="shared" ca="1" si="5"/>
        <v>1.8196839782720752E-2</v>
      </c>
      <c r="L34" s="2" t="str">
        <f t="shared" ca="1" si="6"/>
        <v>OK</v>
      </c>
    </row>
    <row r="35" spans="2:12" x14ac:dyDescent="0.45">
      <c r="B35" s="2" t="str">
        <f ca="1">IFERROR(__xludf.DUMMYFUNCTION("""COMPUTED_VALUE"""),"HDFC LIQUID FUND - DIRECT PLAN - GROWTH OPTION")</f>
        <v>HDFC LIQUID FUND - DIRECT PLAN - GROWTH OPTION</v>
      </c>
      <c r="C35" s="15">
        <f ca="1">IFERROR(__xludf.DUMMYFUNCTION("""COMPUTED_VALUE"""),2967.639015)</f>
        <v>2967.6390150000002</v>
      </c>
      <c r="D35" s="15">
        <f ca="1">IFERROR(__xludf.DUMMYFUNCTION("""COMPUTED_VALUE"""),3053.96267)</f>
        <v>3053.9626699999999</v>
      </c>
      <c r="E35" s="26">
        <f ca="1">IFERROR(__xludf.DUMMYFUNCTION("""COMPUTED_VALUE"""),86.3236549999996)</f>
        <v>86.323654999999604</v>
      </c>
      <c r="F35" s="17">
        <f t="shared" ca="1" si="2"/>
        <v>2.9088327307895161E-2</v>
      </c>
      <c r="G35" s="15">
        <f ca="1">IFERROR(__xludf.DUMMYFUNCTION("IFERROR(
AVERAGE(
FILTER(
TODAY()-MF!F:F,
MF!D:D=B35,
ISNUMBER(MF!F:F)
)
),
0
)"),0)</f>
        <v>0</v>
      </c>
      <c r="H35" s="17">
        <f t="shared" ca="1" si="3"/>
        <v>0</v>
      </c>
      <c r="I35" s="15">
        <f t="shared" ca="1" si="4"/>
        <v>31.745299638473711</v>
      </c>
      <c r="J35" s="15">
        <f ca="1">IFERROR(__xludf.DUMMYFUNCTION("STDEV(FILTER(F:F,F:F&lt;&gt;""""))"),0.622430003254279)</f>
        <v>0.622430003254279</v>
      </c>
      <c r="K35" s="15">
        <f t="shared" ca="1" si="5"/>
        <v>2.9787581372857542E-4</v>
      </c>
      <c r="L35" s="2" t="str">
        <f t="shared" ca="1" si="6"/>
        <v>OK</v>
      </c>
    </row>
    <row r="36" spans="2:12" x14ac:dyDescent="0.45">
      <c r="B36" s="2" t="str">
        <f ca="1">IFERROR(__xludf.DUMMYFUNCTION("""COMPUTED_VALUE"""),"HDFC Large Cap Fund Growth - Regular")</f>
        <v>HDFC Large Cap Fund Growth - Regular</v>
      </c>
      <c r="C36" s="15">
        <f ca="1">IFERROR(__xludf.DUMMYFUNCTION("""COMPUTED_VALUE"""),50000.51721)</f>
        <v>50000.517209999998</v>
      </c>
      <c r="D36" s="15">
        <f ca="1">IFERROR(__xludf.DUMMYFUNCTION("""COMPUTED_VALUE"""),121800.439109999)</f>
        <v>121800.439109999</v>
      </c>
      <c r="E36" s="26">
        <f ca="1">IFERROR(__xludf.DUMMYFUNCTION("""COMPUTED_VALUE"""),71799.9218999999)</f>
        <v>71799.921899999899</v>
      </c>
      <c r="F36" s="17">
        <f t="shared" ca="1" si="2"/>
        <v>1.4359835838986095</v>
      </c>
      <c r="G36" s="15">
        <f ca="1">IFERROR(__xludf.DUMMYFUNCTION("IFERROR(
AVERAGE(
FILTER(
TODAY()-MF!F:F,
MF!D:D=B36,
ISNUMBER(MF!F:F)
)
),
0
)"),0)</f>
        <v>0</v>
      </c>
      <c r="H36" s="17">
        <f t="shared" ca="1" si="3"/>
        <v>0</v>
      </c>
      <c r="I36" s="15">
        <f t="shared" ca="1" si="4"/>
        <v>100</v>
      </c>
      <c r="J36" s="15">
        <f ca="1">IFERROR(__xludf.DUMMYFUNCTION("STDEV(FILTER(F:F,F:F&lt;&gt;""""))"),0.622430003254279)</f>
        <v>0.622430003254279</v>
      </c>
      <c r="K36" s="15">
        <f t="shared" ca="1" si="5"/>
        <v>5.0187858683271788E-3</v>
      </c>
      <c r="L36" s="2" t="str">
        <f t="shared" ca="1" si="6"/>
        <v>OK</v>
      </c>
    </row>
    <row r="37" spans="2:12" x14ac:dyDescent="0.45">
      <c r="B37" s="2" t="str">
        <f ca="1">IFERROR(__xludf.DUMMYFUNCTION("""COMPUTED_VALUE"""),"HDFC MID CAP FUND - DIRECT PLAN - GROWTH OPTION")</f>
        <v>HDFC MID CAP FUND - DIRECT PLAN - GROWTH OPTION</v>
      </c>
      <c r="C37" s="15">
        <f ca="1">IFERROR(__xludf.DUMMYFUNCTION("""COMPUTED_VALUE"""),222488.03994)</f>
        <v>222488.03993999999</v>
      </c>
      <c r="D37" s="15">
        <f ca="1">IFERROR(__xludf.DUMMYFUNCTION("""COMPUTED_VALUE"""),249509.319387999)</f>
        <v>249509.31938799901</v>
      </c>
      <c r="E37" s="26">
        <f ca="1">IFERROR(__xludf.DUMMYFUNCTION("""COMPUTED_VALUE"""),27021.2794479999)</f>
        <v>27021.279447999899</v>
      </c>
      <c r="F37" s="17">
        <f t="shared" ca="1" si="2"/>
        <v>0.12145048091253323</v>
      </c>
      <c r="G37" s="15">
        <f ca="1">IFERROR(__xludf.DUMMYFUNCTION("IFERROR(
AVERAGE(
FILTER(
TODAY()-MF!F:F,
MF!D:D=B37,
ISNUMBER(MF!F:F)
)
),
0
)"),0)</f>
        <v>0</v>
      </c>
      <c r="H37" s="17">
        <f t="shared" ca="1" si="3"/>
        <v>0</v>
      </c>
      <c r="I37" s="15">
        <f t="shared" ca="1" si="4"/>
        <v>37.287028854751995</v>
      </c>
      <c r="J37" s="15">
        <f ca="1">IFERROR(__xludf.DUMMYFUNCTION("STDEV(FILTER(F:F,F:F&lt;&gt;""""))"),0.622430003254279)</f>
        <v>0.622430003254279</v>
      </c>
      <c r="K37" s="15">
        <f t="shared" ca="1" si="5"/>
        <v>2.2332165606066236E-2</v>
      </c>
      <c r="L37" s="2" t="str">
        <f t="shared" ca="1" si="6"/>
        <v>OK</v>
      </c>
    </row>
    <row r="38" spans="2:12" x14ac:dyDescent="0.45">
      <c r="B38" s="2" t="str">
        <f ca="1">IFERROR(__xludf.DUMMYFUNCTION("""COMPUTED_VALUE"""),"ICICI PRUDENTIAL INFRASTRUCTURE FUND - DIRECT PLAN - GROWTH")</f>
        <v>ICICI PRUDENTIAL INFRASTRUCTURE FUND - DIRECT PLAN - GROWTH</v>
      </c>
      <c r="C38" s="15">
        <f ca="1">IFERROR(__xludf.DUMMYFUNCTION("""COMPUTED_VALUE"""),150992.39356)</f>
        <v>150992.39356</v>
      </c>
      <c r="D38" s="15">
        <f ca="1">IFERROR(__xludf.DUMMYFUNCTION("""COMPUTED_VALUE"""),155929.40288)</f>
        <v>155929.40288000001</v>
      </c>
      <c r="E38" s="26">
        <f ca="1">IFERROR(__xludf.DUMMYFUNCTION("""COMPUTED_VALUE"""),4937.00932000001)</f>
        <v>4937.0093200000101</v>
      </c>
      <c r="F38" s="17">
        <f t="shared" ca="1" si="2"/>
        <v>3.2697073035259788E-2</v>
      </c>
      <c r="G38" s="15">
        <f ca="1">IFERROR(__xludf.DUMMYFUNCTION("IFERROR(
AVERAGE(
FILTER(
TODAY()-MF!F:F,
MF!D:D=B38,
ISNUMBER(MF!F:F)
)
),
0
)"),0)</f>
        <v>0</v>
      </c>
      <c r="H38" s="17">
        <f t="shared" ca="1" si="3"/>
        <v>0</v>
      </c>
      <c r="I38" s="15">
        <f t="shared" ca="1" si="4"/>
        <v>31.961824382115587</v>
      </c>
      <c r="J38" s="15">
        <f ca="1">IFERROR(__xludf.DUMMYFUNCTION("STDEV(FILTER(F:F,F:F&lt;&gt;""""))"),0.622430003254279)</f>
        <v>0.622430003254279</v>
      </c>
      <c r="K38" s="15">
        <f t="shared" ca="1" si="5"/>
        <v>1.5155813045715168E-2</v>
      </c>
      <c r="L38" s="2" t="str">
        <f t="shared" ca="1" si="6"/>
        <v>OK</v>
      </c>
    </row>
    <row r="39" spans="2:12" x14ac:dyDescent="0.45">
      <c r="B39" s="2" t="str">
        <f ca="1">IFERROR(__xludf.DUMMYFUNCTION("""COMPUTED_VALUE"""),"ICICI Prudential BHARAT 22 FOF Direct Growth")</f>
        <v>ICICI Prudential BHARAT 22 FOF Direct Growth</v>
      </c>
      <c r="C39" s="15">
        <f ca="1">IFERROR(__xludf.DUMMYFUNCTION("""COMPUTED_VALUE"""),150011.916959999)</f>
        <v>150011.91695999901</v>
      </c>
      <c r="D39" s="15">
        <f ca="1">IFERROR(__xludf.DUMMYFUNCTION("""COMPUTED_VALUE"""),152530.022505599)</f>
        <v>152530.02250559899</v>
      </c>
      <c r="E39" s="26">
        <f ca="1">IFERROR(__xludf.DUMMYFUNCTION("""COMPUTED_VALUE"""),2518.1055456)</f>
        <v>2518.1055455999999</v>
      </c>
      <c r="F39" s="17">
        <f t="shared" ca="1" si="2"/>
        <v>1.678603671381293E-2</v>
      </c>
      <c r="G39" s="15">
        <f ca="1">IFERROR(__xludf.DUMMYFUNCTION("IFERROR(
AVERAGE(
FILTER(
TODAY()-MF!F:F,
MF!D:D=B39,
ISNUMBER(MF!F:F)
)
),
0
)"),0)</f>
        <v>0</v>
      </c>
      <c r="H39" s="17">
        <f t="shared" ca="1" si="3"/>
        <v>0</v>
      </c>
      <c r="I39" s="15">
        <f t="shared" ca="1" si="4"/>
        <v>31.007162202828773</v>
      </c>
      <c r="J39" s="15">
        <f ca="1">IFERROR(__xludf.DUMMYFUNCTION("STDEV(FILTER(F:F,F:F&lt;&gt;""""))"),0.622430003254279)</f>
        <v>0.622430003254279</v>
      </c>
      <c r="K39" s="15">
        <f t="shared" ca="1" si="5"/>
        <v>1.5057398021653651E-2</v>
      </c>
      <c r="L39" s="2" t="str">
        <f t="shared" ca="1" si="6"/>
        <v>OK</v>
      </c>
    </row>
    <row r="40" spans="2:12" x14ac:dyDescent="0.45">
      <c r="B40" s="2" t="str">
        <f ca="1">IFERROR(__xludf.DUMMYFUNCTION("""COMPUTED_VALUE"""),"ICICI Prudential Value Discovery Fund Direct Growth")</f>
        <v>ICICI Prudential Value Discovery Fund Direct Growth</v>
      </c>
      <c r="C40" s="15">
        <f ca="1">IFERROR(__xludf.DUMMYFUNCTION("""COMPUTED_VALUE"""),49999.99528)</f>
        <v>49999.995280000003</v>
      </c>
      <c r="D40" s="15">
        <f ca="1">IFERROR(__xludf.DUMMYFUNCTION("""COMPUTED_VALUE"""),164311.69436)</f>
        <v>164311.69435999999</v>
      </c>
      <c r="E40" s="26">
        <f ca="1">IFERROR(__xludf.DUMMYFUNCTION("""COMPUTED_VALUE"""),114311.69908)</f>
        <v>114311.69908000001</v>
      </c>
      <c r="F40" s="17">
        <f t="shared" ca="1" si="2"/>
        <v>2.2862341974205083</v>
      </c>
      <c r="G40" s="15">
        <f ca="1">IFERROR(__xludf.DUMMYFUNCTION("IFERROR(
AVERAGE(
FILTER(
TODAY()-MF!F:F,
MF!D:D=B40,
ISNUMBER(MF!F:F)
)
),
0
)"),0)</f>
        <v>0</v>
      </c>
      <c r="H40" s="17">
        <f t="shared" ca="1" si="3"/>
        <v>0</v>
      </c>
      <c r="I40" s="15">
        <f t="shared" ca="1" si="4"/>
        <v>100</v>
      </c>
      <c r="J40" s="15">
        <f ca="1">IFERROR(__xludf.DUMMYFUNCTION("STDEV(FILTER(F:F,F:F&lt;&gt;""""))"),0.622430003254279)</f>
        <v>0.622430003254279</v>
      </c>
      <c r="K40" s="15">
        <f t="shared" ca="1" si="5"/>
        <v>5.0187334797709322E-3</v>
      </c>
      <c r="L40" s="2" t="str">
        <f t="shared" ca="1" si="6"/>
        <v>OK</v>
      </c>
    </row>
    <row r="41" spans="2:12" x14ac:dyDescent="0.45">
      <c r="B41" s="2" t="str">
        <f ca="1">IFERROR(__xludf.DUMMYFUNCTION("""COMPUTED_VALUE"""),"INVESCO INDIA SMALL CAP FUND - DIRECT GROWTH")</f>
        <v>INVESCO INDIA SMALL CAP FUND - DIRECT GROWTH</v>
      </c>
      <c r="C41" s="15">
        <f ca="1">IFERROR(__xludf.DUMMYFUNCTION("""COMPUTED_VALUE"""),154492.29194)</f>
        <v>154492.29194</v>
      </c>
      <c r="D41" s="15">
        <f ca="1">IFERROR(__xludf.DUMMYFUNCTION("""COMPUTED_VALUE"""),187469.46148)</f>
        <v>187469.46148</v>
      </c>
      <c r="E41" s="26">
        <f ca="1">IFERROR(__xludf.DUMMYFUNCTION("""COMPUTED_VALUE"""),32977.1695400001)</f>
        <v>32977.169540000097</v>
      </c>
      <c r="F41" s="17">
        <f t="shared" ca="1" si="2"/>
        <v>0.21345511239361642</v>
      </c>
      <c r="G41" s="15">
        <f ca="1">IFERROR(__xludf.DUMMYFUNCTION("IFERROR(
AVERAGE(
FILTER(
TODAY()-MF!F:F,
MF!D:D=B41,
ISNUMBER(MF!F:F)
)
),
0
)"),0)</f>
        <v>0</v>
      </c>
      <c r="H41" s="17">
        <f t="shared" ca="1" si="3"/>
        <v>0</v>
      </c>
      <c r="I41" s="15">
        <f t="shared" ca="1" si="4"/>
        <v>42.807306743616984</v>
      </c>
      <c r="J41" s="15">
        <f ca="1">IFERROR(__xludf.DUMMYFUNCTION("STDEV(FILTER(F:F,F:F&lt;&gt;""""))"),0.622430003254279)</f>
        <v>0.622430003254279</v>
      </c>
      <c r="K41" s="15">
        <f t="shared" ca="1" si="5"/>
        <v>1.5507114222388039E-2</v>
      </c>
      <c r="L41" s="2" t="str">
        <f t="shared" ca="1" si="6"/>
        <v>OK</v>
      </c>
    </row>
    <row r="42" spans="2:12" x14ac:dyDescent="0.45">
      <c r="B42" s="2" t="str">
        <f ca="1">IFERROR(__xludf.DUMMYFUNCTION("""COMPUTED_VALUE"""),"ITI SMALL CAP FUND DIRECT PLAN GROWTH")</f>
        <v>ITI SMALL CAP FUND DIRECT PLAN GROWTH</v>
      </c>
      <c r="C42" s="15">
        <f ca="1">IFERROR(__xludf.DUMMYFUNCTION("""COMPUTED_VALUE"""),150492.4784918)</f>
        <v>150492.47849179999</v>
      </c>
      <c r="D42" s="15">
        <f ca="1">IFERROR(__xludf.DUMMYFUNCTION("""COMPUTED_VALUE"""),172993.03338)</f>
        <v>172993.03338000001</v>
      </c>
      <c r="E42" s="26">
        <f ca="1">IFERROR(__xludf.DUMMYFUNCTION("""COMPUTED_VALUE"""),22500.5548882)</f>
        <v>22500.5548882</v>
      </c>
      <c r="F42" s="17">
        <f t="shared" ca="1" si="2"/>
        <v>0.14951282026646937</v>
      </c>
      <c r="G42" s="15">
        <f ca="1">IFERROR(__xludf.DUMMYFUNCTION("IFERROR(
AVERAGE(
FILTER(
TODAY()-MF!F:F,
MF!D:D=B42,
ISNUMBER(MF!F:F)
)
),
0
)"),0)</f>
        <v>0</v>
      </c>
      <c r="H42" s="17">
        <f t="shared" ca="1" si="3"/>
        <v>0</v>
      </c>
      <c r="I42" s="15">
        <f t="shared" ca="1" si="4"/>
        <v>38.970769215988163</v>
      </c>
      <c r="J42" s="15">
        <f ca="1">IFERROR(__xludf.DUMMYFUNCTION("STDEV(FILTER(F:F,F:F&lt;&gt;""""))"),0.622430003254279)</f>
        <v>0.622430003254279</v>
      </c>
      <c r="K42" s="15">
        <f t="shared" ca="1" si="5"/>
        <v>1.5105634231181941E-2</v>
      </c>
      <c r="L42" s="2" t="str">
        <f t="shared" ca="1" si="6"/>
        <v>OK</v>
      </c>
    </row>
    <row r="43" spans="2:12" x14ac:dyDescent="0.45">
      <c r="B43" s="2" t="str">
        <f ca="1">IFERROR(__xludf.DUMMYFUNCTION("""COMPUTED_VALUE"""),"Kotak Hybrid Equity Fund Growth")</f>
        <v>Kotak Hybrid Equity Fund Growth</v>
      </c>
      <c r="C43" s="15">
        <f ca="1">IFERROR(__xludf.DUMMYFUNCTION("""COMPUTED_VALUE"""),9968.48587)</f>
        <v>9968.4858700000004</v>
      </c>
      <c r="D43" s="15">
        <f ca="1">IFERROR(__xludf.DUMMYFUNCTION("""COMPUTED_VALUE"""),12947.2786509999)</f>
        <v>12947.2786509999</v>
      </c>
      <c r="E43" s="26">
        <f ca="1">IFERROR(__xludf.DUMMYFUNCTION("""COMPUTED_VALUE"""),2978.79278099999)</f>
        <v>2978.7927809999901</v>
      </c>
      <c r="F43" s="17">
        <f t="shared" ca="1" si="2"/>
        <v>0.29882098644134308</v>
      </c>
      <c r="G43" s="15">
        <f ca="1">IFERROR(__xludf.DUMMYFUNCTION("IFERROR(
AVERAGE(
FILTER(
TODAY()-MF!F:F,
MF!D:D=B43,
ISNUMBER(MF!F:F)
)
),
0
)"),0)</f>
        <v>0</v>
      </c>
      <c r="H43" s="17">
        <f t="shared" ca="1" si="3"/>
        <v>0</v>
      </c>
      <c r="I43" s="15">
        <f t="shared" ca="1" si="4"/>
        <v>47.929259186480586</v>
      </c>
      <c r="J43" s="15">
        <f ca="1">IFERROR(__xludf.DUMMYFUNCTION("STDEV(FILTER(F:F,F:F&lt;&gt;""""))"),0.622430003254279)</f>
        <v>0.622430003254279</v>
      </c>
      <c r="K43" s="15">
        <f t="shared" ca="1" si="5"/>
        <v>1.0005835700229383E-3</v>
      </c>
      <c r="L43" s="2" t="str">
        <f t="shared" ca="1" si="6"/>
        <v>OK</v>
      </c>
    </row>
    <row r="44" spans="2:12" x14ac:dyDescent="0.45">
      <c r="B44" s="2" t="str">
        <f ca="1">IFERROR(__xludf.DUMMYFUNCTION("""COMPUTED_VALUE"""),"Kotak Infrastructure &amp; Economic Reform Fund Direct Growth")</f>
        <v>Kotak Infrastructure &amp; Economic Reform Fund Direct Growth</v>
      </c>
      <c r="C44" s="15">
        <f ca="1">IFERROR(__xludf.DUMMYFUNCTION("""COMPUTED_VALUE"""),101203.94871)</f>
        <v>101203.94871</v>
      </c>
      <c r="D44" s="15">
        <f ca="1">IFERROR(__xludf.DUMMYFUNCTION("""COMPUTED_VALUE"""),174756.32046)</f>
        <v>174756.32045999999</v>
      </c>
      <c r="E44" s="26">
        <f ca="1">IFERROR(__xludf.DUMMYFUNCTION("""COMPUTED_VALUE"""),73552.37175)</f>
        <v>73552.371750000006</v>
      </c>
      <c r="F44" s="17">
        <f t="shared" ca="1" si="2"/>
        <v>0.72677373449888194</v>
      </c>
      <c r="G44" s="15">
        <f ca="1">IFERROR(__xludf.DUMMYFUNCTION("IFERROR(
AVERAGE(
FILTER(
TODAY()-MF!F:F,
MF!D:D=B44,
ISNUMBER(MF!F:F)
)
),
0
)"),0)</f>
        <v>0</v>
      </c>
      <c r="H44" s="17">
        <f t="shared" ca="1" si="3"/>
        <v>0</v>
      </c>
      <c r="I44" s="15">
        <f t="shared" ca="1" si="4"/>
        <v>73.606424069932913</v>
      </c>
      <c r="J44" s="15">
        <f ca="1">IFERROR(__xludf.DUMMYFUNCTION("STDEV(FILTER(F:F,F:F&lt;&gt;""""))"),0.622430003254279)</f>
        <v>0.622430003254279</v>
      </c>
      <c r="K44" s="15">
        <f t="shared" ca="1" si="5"/>
        <v>1.0158313872462773E-2</v>
      </c>
      <c r="L44" s="2" t="str">
        <f t="shared" ca="1" si="6"/>
        <v>OK</v>
      </c>
    </row>
    <row r="45" spans="2:12" x14ac:dyDescent="0.45">
      <c r="B45" s="2" t="str">
        <f ca="1">IFERROR(__xludf.DUMMYFUNCTION("""COMPUTED_VALUE"""),"PARAG PARIKH FLEXI CAP FUND - DIRECT PLAN GROWTH")</f>
        <v>PARAG PARIKH FLEXI CAP FUND - DIRECT PLAN GROWTH</v>
      </c>
      <c r="C45" s="15">
        <f ca="1">IFERROR(__xludf.DUMMYFUNCTION("""COMPUTED_VALUE"""),406181.898151)</f>
        <v>406181.89815099997</v>
      </c>
      <c r="D45" s="15">
        <f ca="1">IFERROR(__xludf.DUMMYFUNCTION("""COMPUTED_VALUE"""),416080.1730152)</f>
        <v>416080.17301520001</v>
      </c>
      <c r="E45" s="26">
        <f ca="1">IFERROR(__xludf.DUMMYFUNCTION("""COMPUTED_VALUE"""),9898.27486420003)</f>
        <v>9898.2748642000297</v>
      </c>
      <c r="F45" s="17">
        <f t="shared" ca="1" si="2"/>
        <v>2.4369069397869376E-2</v>
      </c>
      <c r="G45" s="15">
        <f ca="1">IFERROR(__xludf.DUMMYFUNCTION("IFERROR(
AVERAGE(
FILTER(
TODAY()-MF!F:F,
MF!D:D=B45,
ISNUMBER(MF!F:F)
)
),
0
)"),0)</f>
        <v>0</v>
      </c>
      <c r="H45" s="17">
        <f t="shared" ca="1" si="3"/>
        <v>0</v>
      </c>
      <c r="I45" s="15">
        <f t="shared" ca="1" si="4"/>
        <v>31.462144163872161</v>
      </c>
      <c r="J45" s="15">
        <f ca="1">IFERROR(__xludf.DUMMYFUNCTION("STDEV(FILTER(F:F,F:F&lt;&gt;""""))"),0.622430003254279)</f>
        <v>0.622430003254279</v>
      </c>
      <c r="K45" s="15">
        <f t="shared" ca="1" si="5"/>
        <v>4.0770377671270258E-2</v>
      </c>
      <c r="L45" s="2" t="str">
        <f t="shared" ca="1" si="6"/>
        <v>OK</v>
      </c>
    </row>
    <row r="46" spans="2:12" x14ac:dyDescent="0.45">
      <c r="B46" s="2" t="str">
        <f ca="1">IFERROR(__xludf.DUMMYFUNCTION("""COMPUTED_VALUE"""),"PARAG PARIKH LIQUID FUND-DIRECT PLAN-GROWTH")</f>
        <v>PARAG PARIKH LIQUID FUND-DIRECT PLAN-GROWTH</v>
      </c>
      <c r="C46" s="15">
        <f ca="1">IFERROR(__xludf.DUMMYFUNCTION("""COMPUTED_VALUE"""),143992.8347742)</f>
        <v>143992.83477419999</v>
      </c>
      <c r="D46" s="15">
        <f ca="1">IFERROR(__xludf.DUMMYFUNCTION("""COMPUTED_VALUE"""),147805.393183799)</f>
        <v>147805.39318379899</v>
      </c>
      <c r="E46" s="26">
        <f ca="1">IFERROR(__xludf.DUMMYFUNCTION("""COMPUTED_VALUE"""),3812.55840959996)</f>
        <v>3812.5584095999602</v>
      </c>
      <c r="F46" s="17">
        <f t="shared" ca="1" si="2"/>
        <v>2.6477417543578203E-2</v>
      </c>
      <c r="G46" s="15">
        <f ca="1">IFERROR(__xludf.DUMMYFUNCTION("IFERROR(
AVERAGE(
FILTER(
TODAY()-MF!F:F,
MF!D:D=B46,
ISNUMBER(MF!F:F)
)
),
0
)"),0)</f>
        <v>0</v>
      </c>
      <c r="H46" s="17">
        <f t="shared" ca="1" si="3"/>
        <v>0</v>
      </c>
      <c r="I46" s="15">
        <f t="shared" ca="1" si="4"/>
        <v>31.588645052614694</v>
      </c>
      <c r="J46" s="15">
        <f ca="1">IFERROR(__xludf.DUMMYFUNCTION("STDEV(FILTER(F:F,F:F&lt;&gt;""""))"),0.622430003254279)</f>
        <v>0.622430003254279</v>
      </c>
      <c r="K46" s="15">
        <f t="shared" ca="1" si="5"/>
        <v>1.4453234578953375E-2</v>
      </c>
      <c r="L46" s="2" t="str">
        <f t="shared" ca="1" si="6"/>
        <v>OK</v>
      </c>
    </row>
    <row r="47" spans="2:12" x14ac:dyDescent="0.45">
      <c r="B47" s="2" t="str">
        <f ca="1">IFERROR(__xludf.DUMMYFUNCTION("""COMPUTED_VALUE"""),"Quant Small Cap Fund Direct Plan Growth")</f>
        <v>Quant Small Cap Fund Direct Plan Growth</v>
      </c>
      <c r="C47" s="15">
        <f ca="1">IFERROR(__xludf.DUMMYFUNCTION("""COMPUTED_VALUE"""),99994.55865)</f>
        <v>99994.558650000006</v>
      </c>
      <c r="D47" s="15">
        <f ca="1">IFERROR(__xludf.DUMMYFUNCTION("""COMPUTED_VALUE"""),183043.9686968)</f>
        <v>183043.9686968</v>
      </c>
      <c r="E47" s="26">
        <f ca="1">IFERROR(__xludf.DUMMYFUNCTION("""COMPUTED_VALUE"""),83049.4100468)</f>
        <v>83049.410046799996</v>
      </c>
      <c r="F47" s="17">
        <f t="shared" ca="1" si="2"/>
        <v>0.83053929301782048</v>
      </c>
      <c r="G47" s="15">
        <f ca="1">IFERROR(__xludf.DUMMYFUNCTION("IFERROR(
AVERAGE(
FILTER(
TODAY()-MF!F:F,
MF!D:D=B47,
ISNUMBER(MF!F:F)
)
),
0
)"),0)</f>
        <v>0</v>
      </c>
      <c r="H47" s="17">
        <f t="shared" ca="1" si="3"/>
        <v>0</v>
      </c>
      <c r="I47" s="15">
        <f t="shared" ca="1" si="4"/>
        <v>79.832357581069232</v>
      </c>
      <c r="J47" s="15">
        <f ca="1">IFERROR(__xludf.DUMMYFUNCTION("STDEV(FILTER(F:F,F:F&lt;&gt;""""))"),0.622430003254279)</f>
        <v>0.622430003254279</v>
      </c>
      <c r="K47" s="15">
        <f t="shared" ca="1" si="5"/>
        <v>1.0036921733318873E-2</v>
      </c>
      <c r="L47" s="2" t="str">
        <f t="shared" ca="1" si="6"/>
        <v>OK</v>
      </c>
    </row>
    <row r="48" spans="2:12" x14ac:dyDescent="0.45">
      <c r="B48" s="2" t="str">
        <f ca="1">IFERROR(__xludf.DUMMYFUNCTION("""COMPUTED_VALUE"""),"SBI Contra Direct Plan Growth")</f>
        <v>SBI Contra Direct Plan Growth</v>
      </c>
      <c r="C48" s="15">
        <f ca="1">IFERROR(__xludf.DUMMYFUNCTION("""COMPUTED_VALUE"""),65738.9397)</f>
        <v>65738.939700000003</v>
      </c>
      <c r="D48" s="15">
        <f ca="1">IFERROR(__xludf.DUMMYFUNCTION("""COMPUTED_VALUE"""),67653.2041099999)</f>
        <v>67653.204109999904</v>
      </c>
      <c r="E48" s="26">
        <f ca="1">IFERROR(__xludf.DUMMYFUNCTION("""COMPUTED_VALUE"""),1914.26440999998)</f>
        <v>1914.26440999998</v>
      </c>
      <c r="F48" s="17">
        <f t="shared" ca="1" si="2"/>
        <v>2.911918596095002E-2</v>
      </c>
      <c r="G48" s="15">
        <f ca="1">IFERROR(__xludf.DUMMYFUNCTION("IFERROR(
AVERAGE(
FILTER(
TODAY()-MF!F:F,
MF!D:D=B48,
ISNUMBER(MF!F:F)
)
),
0
)"),0)</f>
        <v>0</v>
      </c>
      <c r="H48" s="17">
        <f t="shared" ca="1" si="3"/>
        <v>0</v>
      </c>
      <c r="I48" s="15">
        <f t="shared" ca="1" si="4"/>
        <v>31.747151157657001</v>
      </c>
      <c r="J48" s="15">
        <f ca="1">IFERROR(__xludf.DUMMYFUNCTION("STDEV(FILTER(F:F,F:F&lt;&gt;""""))"),0.622430003254279)</f>
        <v>0.622430003254279</v>
      </c>
      <c r="K48" s="15">
        <f t="shared" ca="1" si="5"/>
        <v>6.598524974841407E-3</v>
      </c>
      <c r="L48" s="2" t="str">
        <f t="shared" ca="1" si="6"/>
        <v>OK</v>
      </c>
    </row>
    <row r="49" spans="2:12" x14ac:dyDescent="0.45">
      <c r="B49" s="2" t="str">
        <f ca="1">IFERROR(__xludf.DUMMYFUNCTION("""COMPUTED_VALUE"""),"UTI NIFTY NEXT 50 INDEX FUND - DIRECT GROWTH PLAN")</f>
        <v>UTI NIFTY NEXT 50 INDEX FUND - DIRECT GROWTH PLAN</v>
      </c>
      <c r="C49" s="15">
        <f ca="1">IFERROR(__xludf.DUMMYFUNCTION("""COMPUTED_VALUE"""),160994.6286015)</f>
        <v>160994.62860150001</v>
      </c>
      <c r="D49" s="15">
        <f ca="1">IFERROR(__xludf.DUMMYFUNCTION("""COMPUTED_VALUE"""),182657.103987899)</f>
        <v>182657.103987899</v>
      </c>
      <c r="E49" s="26">
        <f ca="1">IFERROR(__xludf.DUMMYFUNCTION("""COMPUTED_VALUE"""),21662.4753863999)</f>
        <v>21662.475386399899</v>
      </c>
      <c r="F49" s="17">
        <f t="shared" ca="1" si="2"/>
        <v>0.13455402565025743</v>
      </c>
      <c r="G49" s="15">
        <f ca="1">IFERROR(__xludf.DUMMYFUNCTION("IFERROR(
AVERAGE(
FILTER(
TODAY()-MF!F:F,
MF!D:D=B49,
ISNUMBER(MF!F:F)
)
),
0
)"),0)</f>
        <v>0</v>
      </c>
      <c r="H49" s="17">
        <f t="shared" ca="1" si="3"/>
        <v>0</v>
      </c>
      <c r="I49" s="15">
        <f t="shared" ca="1" si="4"/>
        <v>38.073241539015442</v>
      </c>
      <c r="J49" s="15">
        <f ca="1">IFERROR(__xludf.DUMMYFUNCTION("STDEV(FILTER(F:F,F:F&lt;&gt;""""))"),0.622430003254279)</f>
        <v>0.622430003254279</v>
      </c>
      <c r="K49" s="15">
        <f t="shared" ca="1" si="5"/>
        <v>1.6159784177996326E-2</v>
      </c>
      <c r="L49" s="2" t="str">
        <f t="shared" ca="1" si="6"/>
        <v>OK</v>
      </c>
    </row>
    <row r="50" spans="2:12" x14ac:dyDescent="0.45">
      <c r="C50" s="27">
        <f t="shared" ref="C50:E50" ca="1" si="7">SUM(C31:C49)</f>
        <v>2347047.6453255983</v>
      </c>
      <c r="D50" s="27">
        <f t="shared" ca="1" si="7"/>
        <v>2921529.0173228951</v>
      </c>
      <c r="E50" s="27">
        <f t="shared" ca="1" si="7"/>
        <v>574481.3719972996</v>
      </c>
      <c r="F50" s="17">
        <f t="shared" ca="1" si="2"/>
        <v>0.24476766508828315</v>
      </c>
      <c r="G50" s="15">
        <f ca="1">IFERROR(__xludf.DUMMYFUNCTION("IFERROR(
AVERAGE(
FILTER(
TODAY()-MF!F:F,
MF!D:D=B50,
ISNUMBER(MF!F:F)
)
),
0
)"),0)</f>
        <v>0</v>
      </c>
      <c r="H50" s="15">
        <f t="shared" ca="1" si="3"/>
        <v>0</v>
      </c>
      <c r="I50" s="15">
        <f t="shared" ca="1" si="4"/>
        <v>44.686059905296986</v>
      </c>
      <c r="J50" s="15">
        <f ca="1">IFERROR(__xludf.DUMMYFUNCTION("STDEV(FILTER(F:F,F:F&lt;&gt;""""))"),0.622430003254279)</f>
        <v>0.622430003254279</v>
      </c>
      <c r="K50" s="15">
        <f t="shared" ca="1" si="5"/>
        <v>0.23558415416340639</v>
      </c>
      <c r="L50" s="2" t="str">
        <f t="shared" ca="1" si="6"/>
        <v>OK</v>
      </c>
    </row>
    <row r="53" spans="2:12" x14ac:dyDescent="0.45">
      <c r="B53" s="25" t="str">
        <f ca="1">IFERROR(__xludf.DUMMYFUNCTION("UNIQUE(FILTER({
MF!C:C, MF!D:D
}, MF!D:D&lt;&gt;""""))"),"Fund Name")</f>
        <v>Fund Name</v>
      </c>
      <c r="C53" s="25" t="str">
        <f ca="1">IFERROR(__xludf.DUMMYFUNCTION("""COMPUTED_VALUE"""),"ISIN")</f>
        <v>ISIN</v>
      </c>
    </row>
    <row r="54" spans="2:12" x14ac:dyDescent="0.45">
      <c r="B54" s="2" t="str">
        <f ca="1">IFERROR(__xludf.DUMMYFUNCTION("""COMPUTED_VALUE"""),"PARAG PARIKH FLEXI CAP FUND - DIRECT PLAN GROWTH")</f>
        <v>PARAG PARIKH FLEXI CAP FUND - DIRECT PLAN GROWTH</v>
      </c>
      <c r="C54" s="2" t="str">
        <f ca="1">IFERROR(__xludf.DUMMYFUNCTION("""COMPUTED_VALUE"""),"INF879O01027")</f>
        <v>INF879O01027</v>
      </c>
    </row>
    <row r="55" spans="2:12" x14ac:dyDescent="0.45">
      <c r="B55" s="2" t="str">
        <f ca="1">IFERROR(__xludf.DUMMYFUNCTION("""COMPUTED_VALUE"""),"HDFC MID CAP FUND - DIRECT PLAN - GROWTH OPTION")</f>
        <v>HDFC MID CAP FUND - DIRECT PLAN - GROWTH OPTION</v>
      </c>
      <c r="C55" s="2" t="str">
        <f ca="1">IFERROR(__xludf.DUMMYFUNCTION("""COMPUTED_VALUE"""),"INF179K01XQ0")</f>
        <v>INF179K01XQ0</v>
      </c>
    </row>
    <row r="56" spans="2:12" x14ac:dyDescent="0.45">
      <c r="B56" s="2" t="str">
        <f ca="1">IFERROR(__xludf.DUMMYFUNCTION("""COMPUTED_VALUE"""),"INVESCO INDIA SMALL CAP FUND - DIRECT GROWTH")</f>
        <v>INVESCO INDIA SMALL CAP FUND - DIRECT GROWTH</v>
      </c>
      <c r="C56" s="2" t="str">
        <f ca="1">IFERROR(__xludf.DUMMYFUNCTION("""COMPUTED_VALUE"""),"INF205K013T3")</f>
        <v>INF205K013T3</v>
      </c>
    </row>
    <row r="57" spans="2:12" x14ac:dyDescent="0.45">
      <c r="B57" s="2" t="str">
        <f ca="1">IFERROR(__xludf.DUMMYFUNCTION("""COMPUTED_VALUE"""),"UTI NIFTY NEXT 50 INDEX FUND - DIRECT GROWTH PLAN")</f>
        <v>UTI NIFTY NEXT 50 INDEX FUND - DIRECT GROWTH PLAN</v>
      </c>
      <c r="C57" s="2" t="str">
        <f ca="1">IFERROR(__xludf.DUMMYFUNCTION("""COMPUTED_VALUE"""),"INF789FC12T1")</f>
        <v>INF789FC12T1</v>
      </c>
    </row>
    <row r="58" spans="2:12" x14ac:dyDescent="0.45">
      <c r="B58" s="2" t="str">
        <f ca="1">IFERROR(__xludf.DUMMYFUNCTION("""COMPUTED_VALUE"""),"HDFC LIQUID FUND - DIRECT PLAN - GROWTH OPTION")</f>
        <v>HDFC LIQUID FUND - DIRECT PLAN - GROWTH OPTION</v>
      </c>
      <c r="C58" s="2" t="str">
        <f ca="1">IFERROR(__xludf.DUMMYFUNCTION("""COMPUTED_VALUE"""),"INF179KB1HP9")</f>
        <v>INF179KB1HP9</v>
      </c>
    </row>
    <row r="59" spans="2:12" x14ac:dyDescent="0.45">
      <c r="B59" s="2" t="str">
        <f ca="1">IFERROR(__xludf.DUMMYFUNCTION("""COMPUTED_VALUE"""),"PARAG PARIKH LIQUID FUND-DIRECT PLAN-GROWTH")</f>
        <v>PARAG PARIKH LIQUID FUND-DIRECT PLAN-GROWTH</v>
      </c>
      <c r="C59" s="2" t="str">
        <f ca="1">IFERROR(__xludf.DUMMYFUNCTION("""COMPUTED_VALUE"""),"INF879O01068")</f>
        <v>INF879O01068</v>
      </c>
    </row>
    <row r="60" spans="2:12" x14ac:dyDescent="0.45">
      <c r="B60" s="2" t="str">
        <f ca="1">IFERROR(__xludf.DUMMYFUNCTION("""COMPUTED_VALUE"""),"Quant Small Cap Fund Direct Plan Growth")</f>
        <v>Quant Small Cap Fund Direct Plan Growth</v>
      </c>
      <c r="C60" s="2" t="str">
        <f ca="1">IFERROR(__xludf.DUMMYFUNCTION("""COMPUTED_VALUE"""),"INF966L01689")</f>
        <v>INF966L01689</v>
      </c>
    </row>
    <row r="61" spans="2:12" x14ac:dyDescent="0.45">
      <c r="B61" s="2" t="str">
        <f ca="1">IFERROR(__xludf.DUMMYFUNCTION("""COMPUTED_VALUE"""),"Kotak Hybrid Equity Fund Growth")</f>
        <v>Kotak Hybrid Equity Fund Growth</v>
      </c>
      <c r="C61" s="2" t="str">
        <f ca="1">IFERROR(__xludf.DUMMYFUNCTION("""COMPUTED_VALUE"""),"INF174K01E92")</f>
        <v>INF174K01E92</v>
      </c>
    </row>
    <row r="62" spans="2:12" x14ac:dyDescent="0.45">
      <c r="B62" s="2" t="str">
        <f ca="1">IFERROR(__xludf.DUMMYFUNCTION("""COMPUTED_VALUE"""),"Kotak Infrastructure &amp; Economic Reform Fund Direct Growth")</f>
        <v>Kotak Infrastructure &amp; Economic Reform Fund Direct Growth</v>
      </c>
      <c r="C62" s="2" t="str">
        <f ca="1">IFERROR(__xludf.DUMMYFUNCTION("""COMPUTED_VALUE"""),"INF178L01AL9")</f>
        <v>INF178L01AL9</v>
      </c>
    </row>
    <row r="63" spans="2:12" x14ac:dyDescent="0.45">
      <c r="B63" s="2" t="str">
        <f ca="1">IFERROR(__xludf.DUMMYFUNCTION("""COMPUTED_VALUE"""),"Axis Large Cap Fund Direct Growth")</f>
        <v>Axis Large Cap Fund Direct Growth</v>
      </c>
      <c r="C63" s="2" t="str">
        <f ca="1">IFERROR(__xludf.DUMMYFUNCTION("""COMPUTED_VALUE"""),"INF846K01DP8")</f>
        <v>INF846K01DP8</v>
      </c>
    </row>
    <row r="64" spans="2:12" x14ac:dyDescent="0.45">
      <c r="B64" s="2" t="str">
        <f ca="1">IFERROR(__xludf.DUMMYFUNCTION("""COMPUTED_VALUE"""),"ICICI Prudential Value Discovery Fund Direct Growth")</f>
        <v>ICICI Prudential Value Discovery Fund Direct Growth</v>
      </c>
      <c r="C64" s="2" t="str">
        <f ca="1">IFERROR(__xludf.DUMMYFUNCTION("""COMPUTED_VALUE"""),"INF109K012K1")</f>
        <v>INF109K012K1</v>
      </c>
    </row>
    <row r="65" spans="2:3" x14ac:dyDescent="0.45">
      <c r="B65" s="2" t="str">
        <f ca="1">IFERROR(__xludf.DUMMYFUNCTION("""COMPUTED_VALUE"""),"ICICI Prudential BHARAT 22 FOF Direct Growth")</f>
        <v>ICICI Prudential BHARAT 22 FOF Direct Growth</v>
      </c>
      <c r="C65" s="2" t="str">
        <f ca="1">IFERROR(__xludf.DUMMYFUNCTION("""COMPUTED_VALUE"""),"INF109KC1FX1")</f>
        <v>INF109KC1FX1</v>
      </c>
    </row>
    <row r="66" spans="2:3" x14ac:dyDescent="0.45">
      <c r="B66" s="2" t="str">
        <f ca="1">IFERROR(__xludf.DUMMYFUNCTION("""COMPUTED_VALUE"""),"DSP Large Cap Fund Growth")</f>
        <v>DSP Large Cap Fund Growth</v>
      </c>
      <c r="C66" s="2" t="str">
        <f ca="1">IFERROR(__xludf.DUMMYFUNCTION("""COMPUTED_VALUE"""),"INF740K01PR3")</f>
        <v>INF740K01PR3</v>
      </c>
    </row>
    <row r="67" spans="2:3" x14ac:dyDescent="0.45">
      <c r="B67" s="2" t="str">
        <f ca="1">IFERROR(__xludf.DUMMYFUNCTION("""COMPUTED_VALUE"""),"HDFC Large Cap Fund Growth - Regular")</f>
        <v>HDFC Large Cap Fund Growth - Regular</v>
      </c>
      <c r="C67" s="2" t="str">
        <f ca="1">IFERROR(__xludf.DUMMYFUNCTION("""COMPUTED_VALUE"""),"INF179K01BE2")</f>
        <v>INF179K01BE2</v>
      </c>
    </row>
    <row r="68" spans="2:3" x14ac:dyDescent="0.45">
      <c r="B68" s="2" t="str">
        <f ca="1">IFERROR(__xludf.DUMMYFUNCTION("""COMPUTED_VALUE"""),"SBI Contra Direct Plan Growth")</f>
        <v>SBI Contra Direct Plan Growth</v>
      </c>
      <c r="C68" s="2" t="str">
        <f ca="1">IFERROR(__xludf.DUMMYFUNCTION("""COMPUTED_VALUE"""),"INF200K01RA0")</f>
        <v>INF200K01RA0</v>
      </c>
    </row>
    <row r="69" spans="2:3" x14ac:dyDescent="0.45">
      <c r="B69" s="2" t="str">
        <f ca="1">IFERROR(__xludf.DUMMYFUNCTION("""COMPUTED_VALUE"""),"DSP NIFTY NEXT 50 INDEX FUND - DIRECT - GROWTH")</f>
        <v>DSP NIFTY NEXT 50 INDEX FUND - DIRECT - GROWTH</v>
      </c>
      <c r="C69" s="2" t="str">
        <f ca="1">IFERROR(__xludf.DUMMYFUNCTION("""COMPUTED_VALUE"""),"INF740KA1MG9")</f>
        <v>INF740KA1MG9</v>
      </c>
    </row>
    <row r="70" spans="2:3" x14ac:dyDescent="0.45">
      <c r="B70" s="2" t="str">
        <f ca="1">IFERROR(__xludf.DUMMYFUNCTION("""COMPUTED_VALUE"""),"EDELWEISS MID CAP FUND - DIRECT PLAN GROWTH OPTION")</f>
        <v>EDELWEISS MID CAP FUND - DIRECT PLAN GROWTH OPTION</v>
      </c>
      <c r="C70" s="2" t="str">
        <f ca="1">IFERROR(__xludf.DUMMYFUNCTION("""COMPUTED_VALUE"""),"INF843K01AO4")</f>
        <v>INF843K01AO4</v>
      </c>
    </row>
    <row r="71" spans="2:3" x14ac:dyDescent="0.45">
      <c r="B71" s="2" t="str">
        <f ca="1">IFERROR(__xludf.DUMMYFUNCTION("""COMPUTED_VALUE"""),"ICICI PRUDENTIAL INFRASTRUCTURE FUND - DIRECT PLAN - GROWTH")</f>
        <v>ICICI PRUDENTIAL INFRASTRUCTURE FUND - DIRECT PLAN - GROWTH</v>
      </c>
      <c r="C71" s="2" t="str">
        <f ca="1">IFERROR(__xludf.DUMMYFUNCTION("""COMPUTED_VALUE"""),"INF109K018M4")</f>
        <v>INF109K018M4</v>
      </c>
    </row>
    <row r="72" spans="2:3" x14ac:dyDescent="0.45">
      <c r="B72" s="2" t="str">
        <f ca="1">IFERROR(__xludf.DUMMYFUNCTION("""COMPUTED_VALUE"""),"ITI SMALL CAP FUND DIRECT PLAN GROWTH")</f>
        <v>ITI SMALL CAP FUND DIRECT PLAN GROWTH</v>
      </c>
      <c r="C72" s="2" t="str">
        <f ca="1">IFERROR(__xludf.DUMMYFUNCTION("""COMPUTED_VALUE"""),"INF00XX01747")</f>
        <v>INF00XX01747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FD</vt:lpstr>
      <vt:lpstr>MF</vt:lpstr>
      <vt:lpstr>Stocks</vt:lpstr>
      <vt:lpstr>MF_PERFORMANCE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ZM-TDL058</cp:lastModifiedBy>
  <dcterms:modified xsi:type="dcterms:W3CDTF">2026-08-21T05:42:12Z</dcterms:modified>
</cp:coreProperties>
</file>